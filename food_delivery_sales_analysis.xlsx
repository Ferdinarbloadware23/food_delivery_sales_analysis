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ging_sales" sheetId="1" r:id="rId5"/>
    <sheet state="visible" name="pivot_monthly" sheetId="2" r:id="rId6"/>
    <sheet state="visible" name="pivot_hourly" sheetId="3" r:id="rId7"/>
    <sheet state="visible" name="KPI_summary" sheetId="4" r:id="rId8"/>
    <sheet state="visible" name="dashboard" sheetId="5" r:id="rId9"/>
    <sheet state="visible" name="insight_notes" sheetId="6" r:id="rId10"/>
    <sheet state="visible" name="dim_store" sheetId="7" r:id="rId11"/>
  </sheets>
  <definedNames>
    <definedName hidden="1" localSheetId="1" name="_xlnm._FilterDatabase">pivot_monthly!$A$1:$Z$4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<sst xmlns="http://schemas.openxmlformats.org/spreadsheetml/2006/main" count="3319" uniqueCount="1139">
  <si>
    <t>platform</t>
  </si>
  <si>
    <t>platform_order_id</t>
  </si>
  <si>
    <t>store_id</t>
  </si>
  <si>
    <t>order_datetime</t>
  </si>
  <si>
    <t>order_date</t>
  </si>
  <si>
    <t>order_month</t>
  </si>
  <si>
    <t>order_hour</t>
  </si>
  <si>
    <t>gross_amount</t>
  </si>
  <si>
    <t>commision_amount</t>
  </si>
  <si>
    <t>subsidy_amount</t>
  </si>
  <si>
    <t>net_amount</t>
  </si>
  <si>
    <t>shopeefood</t>
  </si>
  <si>
    <t>2811601005300736156</t>
  </si>
  <si>
    <t>ST_001</t>
  </si>
  <si>
    <t>2811658427779072474</t>
  </si>
  <si>
    <t>2811780845799424389</t>
  </si>
  <si>
    <t>2811967361435648118</t>
  </si>
  <si>
    <t>2811989790673920250</t>
  </si>
  <si>
    <t>2812034214808576109</t>
  </si>
  <si>
    <t>2812081837787136935</t>
  </si>
  <si>
    <t>2812130801846272293</t>
  </si>
  <si>
    <t>2812112993880064778</t>
  </si>
  <si>
    <t>2812189755918336340</t>
  </si>
  <si>
    <t>2812210614389760752</t>
  </si>
  <si>
    <t>2813010977048576340</t>
  </si>
  <si>
    <t>2813036268489728912</t>
  </si>
  <si>
    <t>2813078999108608566</t>
  </si>
  <si>
    <t>2813147372685312379</t>
  </si>
  <si>
    <t>2813218456243200389</t>
  </si>
  <si>
    <t>2813261274319872240</t>
  </si>
  <si>
    <t>2813301942062080781</t>
  </si>
  <si>
    <t>2813367446784000990</t>
  </si>
  <si>
    <t>2813595287096320785</t>
  </si>
  <si>
    <t>2813599568758784858</t>
  </si>
  <si>
    <t>2813619548670976165</t>
  </si>
  <si>
    <t>2813672839580672851</t>
  </si>
  <si>
    <t>2813688489134080131</t>
  </si>
  <si>
    <t>2813676948622336008</t>
  </si>
  <si>
    <t>2814417656941568200</t>
  </si>
  <si>
    <t>2814518359673856377</t>
  </si>
  <si>
    <t>2814547316279296025</t>
  </si>
  <si>
    <t>2814581648411648750</t>
  </si>
  <si>
    <t>2814833128359936037</t>
  </si>
  <si>
    <t>2814842742999040130</t>
  </si>
  <si>
    <t>2814962505550848235</t>
  </si>
  <si>
    <t>2815019736434688223</t>
  </si>
  <si>
    <t>2815045300079616999</t>
  </si>
  <si>
    <t>2815081626765312866</t>
  </si>
  <si>
    <t>2815110339774464423</t>
  </si>
  <si>
    <t>2815842141685760440</t>
  </si>
  <si>
    <t>2815901093529600532</t>
  </si>
  <si>
    <t>2815950019168256640</t>
  </si>
  <si>
    <t>2815970965539840671</t>
  </si>
  <si>
    <t>2816259388574720520</t>
  </si>
  <si>
    <t>2816303199439872899</t>
  </si>
  <si>
    <t>2816353355712512866</t>
  </si>
  <si>
    <t>2816371412503552751</t>
  </si>
  <si>
    <t>2816385870415872453</t>
  </si>
  <si>
    <t>2816403957943296410</t>
  </si>
  <si>
    <t>2816483461269504113</t>
  </si>
  <si>
    <t>2816494596361216168</t>
  </si>
  <si>
    <t>2817253151034368958</t>
  </si>
  <si>
    <t>2817308860664832497</t>
  </si>
  <si>
    <t>2817319169738752470</t>
  </si>
  <si>
    <t>2817447033489408056</t>
  </si>
  <si>
    <t>2817456544041984077</t>
  </si>
  <si>
    <t>2817527778969600299</t>
  </si>
  <si>
    <t>2817522511318016274</t>
  </si>
  <si>
    <t>2817619558860800162</t>
  </si>
  <si>
    <t>2817649746988032086</t>
  </si>
  <si>
    <t>2817735462849536799</t>
  </si>
  <si>
    <t>2817768785479680055</t>
  </si>
  <si>
    <t>2817832804206592349</t>
  </si>
  <si>
    <t>2817834457992192169</t>
  </si>
  <si>
    <t>2817890483144704332</t>
  </si>
  <si>
    <t>2817926808570880760</t>
  </si>
  <si>
    <t>2818664058685440310</t>
  </si>
  <si>
    <t>2818791864863744605</t>
  </si>
  <si>
    <t>2818856082689024803</t>
  </si>
  <si>
    <t>2818876206418944511</t>
  </si>
  <si>
    <t>2818895727233024377</t>
  </si>
  <si>
    <t>2819044760291328389</t>
  </si>
  <si>
    <t>2819059822939136640</t>
  </si>
  <si>
    <t>2819126341011456511</t>
  </si>
  <si>
    <t>2819164640987136995</t>
  </si>
  <si>
    <t>2819185509124096863</t>
  </si>
  <si>
    <t>2819234429996032537</t>
  </si>
  <si>
    <t>2819251902303232480</t>
  </si>
  <si>
    <t>2819269159847936851</t>
  </si>
  <si>
    <t>2820092517320704377</t>
  </si>
  <si>
    <t>2820118541339648352</t>
  </si>
  <si>
    <t>2820127919753216389</t>
  </si>
  <si>
    <t>2820294170790912035</t>
  </si>
  <si>
    <t>2820337301031936695</t>
  </si>
  <si>
    <t>2820431888025600284</t>
  </si>
  <si>
    <t>2820507459980288332</t>
  </si>
  <si>
    <t>2820531088214016520</t>
  </si>
  <si>
    <t>2820594386290688157</t>
  </si>
  <si>
    <t>2820704534677504454</t>
  </si>
  <si>
    <t>2820711691094016209</t>
  </si>
  <si>
    <t>2820741179967488175</t>
  </si>
  <si>
    <t>2821636090759168220</t>
  </si>
  <si>
    <t>2821642953476096990</t>
  </si>
  <si>
    <t>2821957130554368349</t>
  </si>
  <si>
    <t>2821982552328192511</t>
  </si>
  <si>
    <t>2822008765172736562</t>
  </si>
  <si>
    <t>2822010394855424555</t>
  </si>
  <si>
    <t>2822048771360768961</t>
  </si>
  <si>
    <t>2822030499335168490</t>
  </si>
  <si>
    <t>2822096362719232965</t>
  </si>
  <si>
    <t>2822157515524096560</t>
  </si>
  <si>
    <t>2822907525024768235</t>
  </si>
  <si>
    <t>2822925207865344270</t>
  </si>
  <si>
    <t>2822961908484096174</t>
  </si>
  <si>
    <t>2823005713320960899</t>
  </si>
  <si>
    <t>2823027583207424728</t>
  </si>
  <si>
    <t>2823052089920512048</t>
  </si>
  <si>
    <t>2823082687678465125</t>
  </si>
  <si>
    <t>2823355001440256500</t>
  </si>
  <si>
    <t>2823437189942272603</t>
  </si>
  <si>
    <t>2823490475952128305</t>
  </si>
  <si>
    <t>2823522803189760122</t>
  </si>
  <si>
    <t>2823526760581120339</t>
  </si>
  <si>
    <t>2823565688735744609</t>
  </si>
  <si>
    <t>2823571477432320961</t>
  </si>
  <si>
    <t>2823588325198848153</t>
  </si>
  <si>
    <t>2824347707541504044</t>
  </si>
  <si>
    <t>2824370061838336831</t>
  </si>
  <si>
    <t>2824382009362432890</t>
  </si>
  <si>
    <t>2824435971115008084</t>
  </si>
  <si>
    <t>2824615193283584995</t>
  </si>
  <si>
    <t>2824702480552960332</t>
  </si>
  <si>
    <t>2824726010169344404</t>
  </si>
  <si>
    <t>2824846171622400763</t>
  </si>
  <si>
    <t>2824872508462080351</t>
  </si>
  <si>
    <t>2824875301180928599</t>
  </si>
  <si>
    <t>2824885534544896536</t>
  </si>
  <si>
    <t>2824887712091136901</t>
  </si>
  <si>
    <t>2824896597854208175</t>
  </si>
  <si>
    <t>2824900061975552086</t>
  </si>
  <si>
    <t>2824960111511552019</t>
  </si>
  <si>
    <t>2824971359770112287</t>
  </si>
  <si>
    <t>2825737286734848532</t>
  </si>
  <si>
    <t>2825788305413120101</t>
  </si>
  <si>
    <t>2825788634646528697</t>
  </si>
  <si>
    <t>2825797243194368389</t>
  </si>
  <si>
    <t>2825804429350400054</t>
  </si>
  <si>
    <t>2825866517548032438</t>
  </si>
  <si>
    <t>2825987946746880061</t>
  </si>
  <si>
    <t>2826187041805312748</t>
  </si>
  <si>
    <t>2826242528400385677</t>
  </si>
  <si>
    <t>2826260367676416428</t>
  </si>
  <si>
    <t>2826262950482944851</t>
  </si>
  <si>
    <t>2826258308040704184</t>
  </si>
  <si>
    <t>2826240712525824813</t>
  </si>
  <si>
    <t>2826342179902976915</t>
  </si>
  <si>
    <t>2826341180790272629</t>
  </si>
  <si>
    <t>2827209712961536513</t>
  </si>
  <si>
    <t>2827236424371200862</t>
  </si>
  <si>
    <t>2827269810624000671</t>
  </si>
  <si>
    <t>2827474729290752997</t>
  </si>
  <si>
    <t>2827482883476480704</t>
  </si>
  <si>
    <t>2827584153455616223</t>
  </si>
  <si>
    <t>2827596729108480454</t>
  </si>
  <si>
    <t>2827608531241984579</t>
  </si>
  <si>
    <t>2827634263854080537</t>
  </si>
  <si>
    <t>2827655587941376310</t>
  </si>
  <si>
    <t>2827746138491904048</t>
  </si>
  <si>
    <t>2827841070287872433</t>
  </si>
  <si>
    <t>2828562297227264093</t>
  </si>
  <si>
    <t>2828601272109056924</t>
  </si>
  <si>
    <t>2828783280950272704</t>
  </si>
  <si>
    <t>2828966520883200213</t>
  </si>
  <si>
    <t>2829012774193152875</t>
  </si>
  <si>
    <t>2829037989579776058</t>
  </si>
  <si>
    <t>2829110592146432428</t>
  </si>
  <si>
    <t>2829133912803328201</t>
  </si>
  <si>
    <t>2829172322061312175</t>
  </si>
  <si>
    <t>2829213304720384410</t>
  </si>
  <si>
    <t>2829225752774656876</t>
  </si>
  <si>
    <t>2829248268160000400</t>
  </si>
  <si>
    <t>2830072773183488165</t>
  </si>
  <si>
    <t>2830334292986881037</t>
  </si>
  <si>
    <t>2830372774463488704</t>
  </si>
  <si>
    <t>2830402308197376500</t>
  </si>
  <si>
    <t>2830413722290176596</t>
  </si>
  <si>
    <t>2830448589507584866</t>
  </si>
  <si>
    <t>2830497822951424511</t>
  </si>
  <si>
    <t>2830651413268480270</t>
  </si>
  <si>
    <t>2831407769078784784</t>
  </si>
  <si>
    <t>2831442280221696961</t>
  </si>
  <si>
    <t>2831443805359104835</t>
  </si>
  <si>
    <t>2831513684707328625</t>
  </si>
  <si>
    <t>2831741055371264912</t>
  </si>
  <si>
    <t>2831763821775872955</t>
  </si>
  <si>
    <t>2831817315289088235</t>
  </si>
  <si>
    <t>2831824702097409984</t>
  </si>
  <si>
    <t>2831855786002432589</t>
  </si>
  <si>
    <t>2831861296220160055</t>
  </si>
  <si>
    <t>2831874756463616744</t>
  </si>
  <si>
    <t>2831881051311104056</t>
  </si>
  <si>
    <t>2832056555816960254</t>
  </si>
  <si>
    <t>2832819003902976469</t>
  </si>
  <si>
    <t>2832922563316736389</t>
  </si>
  <si>
    <t>2832986258820096522</t>
  </si>
  <si>
    <t>2833063555664896349</t>
  </si>
  <si>
    <t>2833072936798208023</t>
  </si>
  <si>
    <t>2833081450073088509</t>
  </si>
  <si>
    <t>2833161597634561999</t>
  </si>
  <si>
    <t>2833202404886528389</t>
  </si>
  <si>
    <t>2833221264182272379</t>
  </si>
  <si>
    <t>2833228628052992537</t>
  </si>
  <si>
    <t>2833388619107328455</t>
  </si>
  <si>
    <t>2833393003415552025</t>
  </si>
  <si>
    <t>2834250188934144352</t>
  </si>
  <si>
    <t>2834365611707392157</t>
  </si>
  <si>
    <t>2834390967846912510</t>
  </si>
  <si>
    <t>2834507604854784899</t>
  </si>
  <si>
    <t>2834596583852032037</t>
  </si>
  <si>
    <t>2834601395324928445</t>
  </si>
  <si>
    <t>2834633905948672558</t>
  </si>
  <si>
    <t>2834660898113536400</t>
  </si>
  <si>
    <t>2834798272071680790</t>
  </si>
  <si>
    <t>2834823444057088875</t>
  </si>
  <si>
    <t>2834845699000320609</t>
  </si>
  <si>
    <t>2834861797787648433</t>
  </si>
  <si>
    <t>2834879226497024617</t>
  </si>
  <si>
    <t>2835764619693056509</t>
  </si>
  <si>
    <t>2835800135633920367</t>
  </si>
  <si>
    <t>2835997500196864540</t>
  </si>
  <si>
    <t>2836033254148100162</t>
  </si>
  <si>
    <t>2836055826549760917</t>
  </si>
  <si>
    <t>2836101996562432990</t>
  </si>
  <si>
    <t>2836118974793728815</t>
  </si>
  <si>
    <t>2836122314607616623</t>
  </si>
  <si>
    <t>2836169888762880428</t>
  </si>
  <si>
    <t>2836229891181568738</t>
  </si>
  <si>
    <t>2836278499084288895</t>
  </si>
  <si>
    <t>2836282089229312945</t>
  </si>
  <si>
    <t>2837139285133313068</t>
  </si>
  <si>
    <t>2837280191137792004</t>
  </si>
  <si>
    <t>2837408033557504525</t>
  </si>
  <si>
    <t>2837399872686080538</t>
  </si>
  <si>
    <t>2837552741369856497</t>
  </si>
  <si>
    <t>2837553944135680646</t>
  </si>
  <si>
    <t>2837609039825920586</t>
  </si>
  <si>
    <t>2837632624527360987</t>
  </si>
  <si>
    <t>2837661359671296209</t>
  </si>
  <si>
    <t>2837671703727104921</t>
  </si>
  <si>
    <t>2837675483778048530</t>
  </si>
  <si>
    <t>2837707442883584983</t>
  </si>
  <si>
    <t>2837723267811328499</t>
  </si>
  <si>
    <t>2837724057127936617</t>
  </si>
  <si>
    <t>2838775048621056101</t>
  </si>
  <si>
    <t>2838947889449984397</t>
  </si>
  <si>
    <t>2839063612639232114</t>
  </si>
  <si>
    <t>2839114546006016502</t>
  </si>
  <si>
    <t>2839148246714368425</t>
  </si>
  <si>
    <t>2840001233423360553</t>
  </si>
  <si>
    <t>2840019393104896605</t>
  </si>
  <si>
    <t>2840078541244416039</t>
  </si>
  <si>
    <t>2840095178098688875</t>
  </si>
  <si>
    <t>2840211492277248130</t>
  </si>
  <si>
    <t>2840286741219328626</t>
  </si>
  <si>
    <t>2840319554537472688</t>
  </si>
  <si>
    <t>2840343760686080332</t>
  </si>
  <si>
    <t>2840350619469824391</t>
  </si>
  <si>
    <t>2840365116558336316</t>
  </si>
  <si>
    <t>2840521906539520175</t>
  </si>
  <si>
    <t>2841417064024064389</t>
  </si>
  <si>
    <t>2841465118197760928</t>
  </si>
  <si>
    <t>2841477674354688149</t>
  </si>
  <si>
    <t>2841493891353600220</t>
  </si>
  <si>
    <t>2841716079970304389</t>
  </si>
  <si>
    <t>2841857921353728617</t>
  </si>
  <si>
    <t>2841892591060992370</t>
  </si>
  <si>
    <t>2841896961100800157</t>
  </si>
  <si>
    <t>2841919247403008507</t>
  </si>
  <si>
    <t>2841987042577408626</t>
  </si>
  <si>
    <t>2844138155052032928</t>
  </si>
  <si>
    <t>2844192689195008389</t>
  </si>
  <si>
    <t>2844198656034816520</t>
  </si>
  <si>
    <t>2844226037877760708</t>
  </si>
  <si>
    <t>2844328903052288881</t>
  </si>
  <si>
    <t>2844386772862976160</t>
  </si>
  <si>
    <t>2844397718128640233</t>
  </si>
  <si>
    <t>2844390300846080944</t>
  </si>
  <si>
    <t>2844477475933184517</t>
  </si>
  <si>
    <t>2845610044247040928</t>
  </si>
  <si>
    <t>2845653457029120165</t>
  </si>
  <si>
    <t>2845691754252288035</t>
  </si>
  <si>
    <t>2845704408337408708</t>
  </si>
  <si>
    <t>2845710871153664617</t>
  </si>
  <si>
    <t>2845781311939584501</t>
  </si>
  <si>
    <t>2845789259751936035</t>
  </si>
  <si>
    <t>2845808862356481213</t>
  </si>
  <si>
    <t>2845996744320000830</t>
  </si>
  <si>
    <t>2846108556256256901</t>
  </si>
  <si>
    <t>2846129764344321055</t>
  </si>
  <si>
    <t>2846131343336448428</t>
  </si>
  <si>
    <t>2846154709033472119</t>
  </si>
  <si>
    <t>2846197034853376174</t>
  </si>
  <si>
    <t>2846218673251328488</t>
  </si>
  <si>
    <t>2846246469394944201</t>
  </si>
  <si>
    <t>2847367275963392189</t>
  </si>
  <si>
    <t>2847404576580096332</t>
  </si>
  <si>
    <t>2847413604753920523</t>
  </si>
  <si>
    <t>2847423394390528247</t>
  </si>
  <si>
    <t>2847437290562048933</t>
  </si>
  <si>
    <t>2847429832582144610</t>
  </si>
  <si>
    <t>2847446572278272070</t>
  </si>
  <si>
    <t>2847483710219264371</t>
  </si>
  <si>
    <t>2847495132111360283</t>
  </si>
  <si>
    <t>2847483886428672305</t>
  </si>
  <si>
    <t>2847550678753792048</t>
  </si>
  <si>
    <t>2847554712822784428</t>
  </si>
  <si>
    <t>2847566111924736175</t>
  </si>
  <si>
    <t>2847612770624512192</t>
  </si>
  <si>
    <t>2847616802825216250</t>
  </si>
  <si>
    <t>2847634028471297939</t>
  </si>
  <si>
    <t>2847626294551040477</t>
  </si>
  <si>
    <t>2848452388332032605</t>
  </si>
  <si>
    <t>2848528919684096776</t>
  </si>
  <si>
    <t>2848617002033664382</t>
  </si>
  <si>
    <t>2848617869632000695</t>
  </si>
  <si>
    <t>2848639415656960023</t>
  </si>
  <si>
    <t>2848721863599104766</t>
  </si>
  <si>
    <t>2848719666177024517</t>
  </si>
  <si>
    <t>2848774007448576846</t>
  </si>
  <si>
    <t>2848824081359872459</t>
  </si>
  <si>
    <t>2848834692604416370</t>
  </si>
  <si>
    <t>2848852317397504786</t>
  </si>
  <si>
    <t>2848836664435712219</t>
  </si>
  <si>
    <t>2848867372114432035</t>
  </si>
  <si>
    <t>2848849298695168589</t>
  </si>
  <si>
    <t>2848889706324480016</t>
  </si>
  <si>
    <t>2848918477087232280</t>
  </si>
  <si>
    <t>2849014411878912617</t>
  </si>
  <si>
    <t>2849031560323584536</t>
  </si>
  <si>
    <t>2849039881593856433</t>
  </si>
  <si>
    <t>2849051660591616496</t>
  </si>
  <si>
    <t>2849071430231040610</t>
  </si>
  <si>
    <t>2849078083494400907</t>
  </si>
  <si>
    <t>2850012877120000389</t>
  </si>
  <si>
    <t>2850035281322496462</t>
  </si>
  <si>
    <t>2850229384716800499</t>
  </si>
  <si>
    <t>2850331004101120453</t>
  </si>
  <si>
    <t>2850360749531648667</t>
  </si>
  <si>
    <t>2850415733646336163</t>
  </si>
  <si>
    <t>2850463330918912991</t>
  </si>
  <si>
    <t>2851384184808448875</t>
  </si>
  <si>
    <t>2851604360192512837</t>
  </si>
  <si>
    <t>2851740318900736223</t>
  </si>
  <si>
    <t>2851787246887424556</t>
  </si>
  <si>
    <t>2851824232276480617</t>
  </si>
  <si>
    <t>2851863704282112535</t>
  </si>
  <si>
    <t>2851884993242112192</t>
  </si>
  <si>
    <t>2851865300673024581</t>
  </si>
  <si>
    <t>2852640059253248248</t>
  </si>
  <si>
    <t>2852682240500224222</t>
  </si>
  <si>
    <t>2852698835395584961</t>
  </si>
  <si>
    <t>2852745092620800637</t>
  </si>
  <si>
    <t>2852748812706304389</t>
  </si>
  <si>
    <t>2852795179540992914</t>
  </si>
  <si>
    <t>2852845952214016349</t>
  </si>
  <si>
    <t>2852871255794176605</t>
  </si>
  <si>
    <t>2852924373607424500</t>
  </si>
  <si>
    <t>2852979038118400336</t>
  </si>
  <si>
    <t>2853008471761408557</t>
  </si>
  <si>
    <t>2853052557664768389</t>
  </si>
  <si>
    <t>2853055840313856391</t>
  </si>
  <si>
    <t>2853171640984576610</t>
  </si>
  <si>
    <t>2853173594284544589</t>
  </si>
  <si>
    <t>2853199864390656851</t>
  </si>
  <si>
    <t>2853283275793408339</t>
  </si>
  <si>
    <t>2854109860635648177</t>
  </si>
  <si>
    <t>2854149072675328470</t>
  </si>
  <si>
    <t>2854208105030656373</t>
  </si>
  <si>
    <t>2854354761802752601</t>
  </si>
  <si>
    <t>2854369950131200379</t>
  </si>
  <si>
    <t>2854681776022016175</t>
  </si>
  <si>
    <t>2854712388903424039</t>
  </si>
  <si>
    <t>2855470571921920169</t>
  </si>
  <si>
    <t>2855523965182976790</t>
  </si>
  <si>
    <t>2855535880774144349</t>
  </si>
  <si>
    <t>2855571905815552714</t>
  </si>
  <si>
    <t>2855573680858112617</t>
  </si>
  <si>
    <t>2855617451958784635</t>
  </si>
  <si>
    <t>2855722244334592283</t>
  </si>
  <si>
    <t>2855777700815360293</t>
  </si>
  <si>
    <t>2855816657232896558</t>
  </si>
  <si>
    <t>2855869581222400575</t>
  </si>
  <si>
    <t>2855888258638336107</t>
  </si>
  <si>
    <t>2855915278197760725</t>
  </si>
  <si>
    <t>2855933525304320366</t>
  </si>
  <si>
    <t>2855941799174656174</t>
  </si>
  <si>
    <t>2855994555867648232</t>
  </si>
  <si>
    <t>2856004357480960887</t>
  </si>
  <si>
    <t>2856009937560064808</t>
  </si>
  <si>
    <t>2856032891806720511</t>
  </si>
  <si>
    <t>2856057612395008002</t>
  </si>
  <si>
    <t>2856077193159168653</t>
  </si>
  <si>
    <t>2856080684229632581</t>
  </si>
  <si>
    <t>2856117186749440812</t>
  </si>
  <si>
    <t>2856122304406528074</t>
  </si>
  <si>
    <t>2856136132944896435</t>
  </si>
  <si>
    <t>2856881714340864808</t>
  </si>
  <si>
    <t>2857034725024256453</t>
  </si>
  <si>
    <t>2857412585087488617</t>
  </si>
  <si>
    <t>2857436388221440224</t>
  </si>
  <si>
    <t>2857443108545536536</t>
  </si>
  <si>
    <t>2857471713010688973</t>
  </si>
  <si>
    <t>2857493277762048057</t>
  </si>
  <si>
    <t>2857555027518464880</t>
  </si>
  <si>
    <t>2857574611182592404</t>
  </si>
  <si>
    <t>2858842565091840713</t>
  </si>
  <si>
    <t>2858853200732674274</t>
  </si>
  <si>
    <t>2858871337869824513</t>
  </si>
  <si>
    <t>2858942741684736391</t>
  </si>
  <si>
    <t>2858953839207424893</t>
  </si>
  <si>
    <t>2859731725034496926</t>
  </si>
  <si>
    <t>2859743322513920708</t>
  </si>
  <si>
    <t>2859789200466432961</t>
  </si>
  <si>
    <t>2859853662380544714</t>
  </si>
  <si>
    <t>2859944029774848462</t>
  </si>
  <si>
    <t>2860084764287488425</t>
  </si>
  <si>
    <t>2860098115363840138</t>
  </si>
  <si>
    <t>2860117643568128556</t>
  </si>
  <si>
    <t>2860158243382272332</t>
  </si>
  <si>
    <t>2860209423589888965</t>
  </si>
  <si>
    <t>2860224614163456349</t>
  </si>
  <si>
    <t>2860278587351552900</t>
  </si>
  <si>
    <t>2860304643777536520</t>
  </si>
  <si>
    <t>2860325771321856911</t>
  </si>
  <si>
    <t>2860335288968192536</t>
  </si>
  <si>
    <t>2860341422121985377</t>
  </si>
  <si>
    <t>2860370081735680103</t>
  </si>
  <si>
    <t>2860381359498240535</t>
  </si>
  <si>
    <t>2861311722283520617</t>
  </si>
  <si>
    <t>2861314138104320545</t>
  </si>
  <si>
    <t>2861385351816192760</t>
  </si>
  <si>
    <t>2861407922873344881</t>
  </si>
  <si>
    <t>2861561343156736520</t>
  </si>
  <si>
    <t>2861688976532480851</t>
  </si>
  <si>
    <t>2862621576881152571</t>
  </si>
  <si>
    <t>2862893786031104581</t>
  </si>
  <si>
    <t>2862903605535744156</t>
  </si>
  <si>
    <t>2862903838467072037</t>
  </si>
  <si>
    <t>2862928182944256516</t>
  </si>
  <si>
    <t>2862982158098944557</t>
  </si>
  <si>
    <t>2863041669227521583</t>
  </si>
  <si>
    <t>2863104279798272055</t>
  </si>
  <si>
    <t>2863232180380672027</t>
  </si>
  <si>
    <t>2864021204476416928</t>
  </si>
  <si>
    <t>2864067783483904352</t>
  </si>
  <si>
    <t>2864090056598528978</t>
  </si>
  <si>
    <t>2864152048411136139</t>
  </si>
  <si>
    <t>2864232526127616573</t>
  </si>
  <si>
    <t>2864358413935616557</t>
  </si>
  <si>
    <t>2864370583299072072</t>
  </si>
  <si>
    <t>2864373701616640232</t>
  </si>
  <si>
    <t>2864524861956608791</t>
  </si>
  <si>
    <t>2864573698908672784</t>
  </si>
  <si>
    <t>2864580242727936612</t>
  </si>
  <si>
    <t>2864583802642944617</t>
  </si>
  <si>
    <t>2864619955773952998</t>
  </si>
  <si>
    <t>2864639462745088111</t>
  </si>
  <si>
    <t>2865428401185280023</t>
  </si>
  <si>
    <t>2865450120339968371</t>
  </si>
  <si>
    <t>2865537918034944617</t>
  </si>
  <si>
    <t>2865569074782720961</t>
  </si>
  <si>
    <t>2865739069956608935</t>
  </si>
  <si>
    <t>2865794747753472336</t>
  </si>
  <si>
    <t>2865806830887936538</t>
  </si>
  <si>
    <t>2865883343250432352</t>
  </si>
  <si>
    <t>2865973387158528783</t>
  </si>
  <si>
    <t>2865996233204224802</t>
  </si>
  <si>
    <t>2865996875981312467</t>
  </si>
  <si>
    <t>2866021578727936428</t>
  </si>
  <si>
    <t>2866028142208000442</t>
  </si>
  <si>
    <t>2866029924196864244</t>
  </si>
  <si>
    <t>2866038779535872857</t>
  </si>
  <si>
    <t>2866861420864000217</t>
  </si>
  <si>
    <t>2866868273882112995</t>
  </si>
  <si>
    <t>2866910923203584566</t>
  </si>
  <si>
    <t>2867387779293696617</t>
  </si>
  <si>
    <t>2867446118834688965</t>
  </si>
  <si>
    <t>2868209886601728721</t>
  </si>
  <si>
    <t>2868293788328448349</t>
  </si>
  <si>
    <t>2868344986968576737</t>
  </si>
  <si>
    <t>2868465330365440695</t>
  </si>
  <si>
    <t>2868582515876864060</t>
  </si>
  <si>
    <t>2868627905422336643</t>
  </si>
  <si>
    <t>2868636485395456156</t>
  </si>
  <si>
    <t>2868725048091136361</t>
  </si>
  <si>
    <t>2868726684819968482</t>
  </si>
  <si>
    <t>2868729354167296565</t>
  </si>
  <si>
    <t>2868745298502144253</t>
  </si>
  <si>
    <t>2868782135992832617</t>
  </si>
  <si>
    <t>2868808276141056974</t>
  </si>
  <si>
    <t>2868840082760704573</t>
  </si>
  <si>
    <t>2868883701670400201</t>
  </si>
  <si>
    <t>2868894586479104731</t>
  </si>
  <si>
    <t>2869629855900160058</t>
  </si>
  <si>
    <t>2869652380967424209</t>
  </si>
  <si>
    <t>2869664106734592063</t>
  </si>
  <si>
    <t>2869699804423169795</t>
  </si>
  <si>
    <t>2869784790148096479</t>
  </si>
  <si>
    <t>2870017985651200213</t>
  </si>
  <si>
    <t>2870100437164544240</t>
  </si>
  <si>
    <t>2870127151374848211</t>
  </si>
  <si>
    <t>2870133447418368617</t>
  </si>
  <si>
    <t>2870193844183552428</t>
  </si>
  <si>
    <t>2870237958087168157</t>
  </si>
  <si>
    <t>2871114660176896617</t>
  </si>
  <si>
    <t>2871147183727104462</t>
  </si>
  <si>
    <t>2871154497970688210</t>
  </si>
  <si>
    <t>2871204512998400619</t>
  </si>
  <si>
    <t>2871291859657728177</t>
  </si>
  <si>
    <t>2871494978954240349</t>
  </si>
  <si>
    <t>2871500336374785648</t>
  </si>
  <si>
    <t>2871521753260544753</t>
  </si>
  <si>
    <t>2871662476977152433</t>
  </si>
  <si>
    <t>2872478945862144639</t>
  </si>
  <si>
    <t>2872481795547648235</t>
  </si>
  <si>
    <t>2872533518197248440</t>
  </si>
  <si>
    <t>2872588162753024575</t>
  </si>
  <si>
    <t>2872601222914560960</t>
  </si>
  <si>
    <t>2872628462658048708</t>
  </si>
  <si>
    <t>2872630007030784605</t>
  </si>
  <si>
    <t>2872656627294720806</t>
  </si>
  <si>
    <t>2872860550210048786</t>
  </si>
  <si>
    <t>2872891948999168591</t>
  </si>
  <si>
    <t>2872907062632960131</t>
  </si>
  <si>
    <t>2872909861495297965</t>
  </si>
  <si>
    <t>2872925491536896023</t>
  </si>
  <si>
    <t>2872976009683968332</t>
  </si>
  <si>
    <t>2873046640370176538</t>
  </si>
  <si>
    <t>2873059187762176847</t>
  </si>
  <si>
    <t>2873091775472640522</t>
  </si>
  <si>
    <t>2873096012816896629</t>
  </si>
  <si>
    <t>2873975004357120690</t>
  </si>
  <si>
    <t>2874301292962816133</t>
  </si>
  <si>
    <t>2874358332908544462</t>
  </si>
  <si>
    <t>2874369215833088875</t>
  </si>
  <si>
    <t>2874375752704512514</t>
  </si>
  <si>
    <t>2874505949897728551</t>
  </si>
  <si>
    <t>2874562879496704827</t>
  </si>
  <si>
    <t>2875280187466240899</t>
  </si>
  <si>
    <t>2875311497618432029</t>
  </si>
  <si>
    <t>2875565246637056814</t>
  </si>
  <si>
    <t>2875727386977280138</t>
  </si>
  <si>
    <t>2875741430637568925</t>
  </si>
  <si>
    <t>2875750560096768279</t>
  </si>
  <si>
    <t>2875781487337984023</t>
  </si>
  <si>
    <t>2875800230535680034</t>
  </si>
  <si>
    <t>2875819703919616617</t>
  </si>
  <si>
    <t>2875846831596544045</t>
  </si>
  <si>
    <t>2875926780764672781</t>
  </si>
  <si>
    <t>2876781210560000367</t>
  </si>
  <si>
    <t>2876913308328960340</t>
  </si>
  <si>
    <t>2876984459355136520</t>
  </si>
  <si>
    <t>2877020552259072295</t>
  </si>
  <si>
    <t>2877037821224448166</t>
  </si>
  <si>
    <t>2877069183903233253</t>
  </si>
  <si>
    <t>2877093198865920835</t>
  </si>
  <si>
    <t>2877157743141888037</t>
  </si>
  <si>
    <t>2877307669128704508</t>
  </si>
  <si>
    <t>2877308886771200581</t>
  </si>
  <si>
    <t>2877350609986560685</t>
  </si>
  <si>
    <t>2877386477823488377</t>
  </si>
  <si>
    <t>2878120476567040138</t>
  </si>
  <si>
    <t>2878134209734144957</t>
  </si>
  <si>
    <t>2878169865954816730</t>
  </si>
  <si>
    <t>2878407135421440294</t>
  </si>
  <si>
    <t>2878639599117312660</t>
  </si>
  <si>
    <t>2878674964734976846</t>
  </si>
  <si>
    <t>2878771769632256087</t>
  </si>
  <si>
    <t>2879542914491904349</t>
  </si>
  <si>
    <t>2879550795572224864</t>
  </si>
  <si>
    <t>2879569165542912352</t>
  </si>
  <si>
    <t>2879594609567232960</t>
  </si>
  <si>
    <t>2879712537240576165</t>
  </si>
  <si>
    <t>2879771243341312305</t>
  </si>
  <si>
    <t>2879775943910912914</t>
  </si>
  <si>
    <t>2879809901782528712</t>
  </si>
  <si>
    <t>2879920146163200784</t>
  </si>
  <si>
    <t>2879932446090240708</t>
  </si>
  <si>
    <t>2879996378998272096</t>
  </si>
  <si>
    <t>2880032593650688937</t>
  </si>
  <si>
    <t>2880099330614784914</t>
  </si>
  <si>
    <t>2880103484498944838</t>
  </si>
  <si>
    <t>2880106725205504924</t>
  </si>
  <si>
    <t>2880130692899840353</t>
  </si>
  <si>
    <t>2880148924867584428</t>
  </si>
  <si>
    <t>2880180493296640295</t>
  </si>
  <si>
    <t>2880203359314944599</t>
  </si>
  <si>
    <t>2880219514381312629</t>
  </si>
  <si>
    <t>2880970325435392271</t>
  </si>
  <si>
    <t>2881122928371201910</t>
  </si>
  <si>
    <t>2881159977640960563</t>
  </si>
  <si>
    <t>2881161628034560821</t>
  </si>
  <si>
    <t>2881177346811392397</t>
  </si>
  <si>
    <t>2881226885408256520</t>
  </si>
  <si>
    <t>2881314769593344101</t>
  </si>
  <si>
    <t>2881317988509184301</t>
  </si>
  <si>
    <t>2881367809893376251</t>
  </si>
  <si>
    <t>2881415619961856593</t>
  </si>
  <si>
    <t>2881424772965376305</t>
  </si>
  <si>
    <t>2881432867677184337</t>
  </si>
  <si>
    <t>2881456852395520366</t>
  </si>
  <si>
    <t>2881543459202560306</t>
  </si>
  <si>
    <t>2881569672094720175</t>
  </si>
  <si>
    <t>2881595783390720345</t>
  </si>
  <si>
    <t>2881609043174400212</t>
  </si>
  <si>
    <t>2882364125438976761</t>
  </si>
  <si>
    <t>2882365931136000337</t>
  </si>
  <si>
    <t>2882373663581184284</t>
  </si>
  <si>
    <t>2882391480624642764</t>
  </si>
  <si>
    <t>2882446005576704937</t>
  </si>
  <si>
    <t>2882497941382144784</t>
  </si>
  <si>
    <t>2882724259489280244</t>
  </si>
  <si>
    <t>2882765291873792138</t>
  </si>
  <si>
    <t>2882817357030913337</t>
  </si>
  <si>
    <t>2882817837163520708</t>
  </si>
  <si>
    <t>2884176710263808695</t>
  </si>
  <si>
    <t>2884239744738304447</t>
  </si>
  <si>
    <t>2884400861357568617</t>
  </si>
  <si>
    <t>2884414804829184298</t>
  </si>
  <si>
    <t>2885240480589312671</t>
  </si>
  <si>
    <t>2885289353733632455</t>
  </si>
  <si>
    <t>2885371768923136377</t>
  </si>
  <si>
    <t>2885421128312321337</t>
  </si>
  <si>
    <t>2885563658216960581</t>
  </si>
  <si>
    <t>2885666742330880997</t>
  </si>
  <si>
    <t>2885752915158016212</t>
  </si>
  <si>
    <t>2885777288438784800</t>
  </si>
  <si>
    <t>2886654185367040337</t>
  </si>
  <si>
    <t>2886740739023872116</t>
  </si>
  <si>
    <t>2886844868961280226</t>
  </si>
  <si>
    <t>2887106711595520440</t>
  </si>
  <si>
    <t>2887124542237184843</t>
  </si>
  <si>
    <t>2887129765702656685</t>
  </si>
  <si>
    <t>2887146712754688463</t>
  </si>
  <si>
    <t>2887247287069696447</t>
  </si>
  <si>
    <t>2888346536963072694</t>
  </si>
  <si>
    <t>2888377197014016337</t>
  </si>
  <si>
    <t>2888475801807360708</t>
  </si>
  <si>
    <t>2888522692029440960</t>
  </si>
  <si>
    <t>2888561980091392428</t>
  </si>
  <si>
    <t>2888597286874112840</t>
  </si>
  <si>
    <t>2888636294720512736</t>
  </si>
  <si>
    <t>2888657698777600685</t>
  </si>
  <si>
    <t>2888697954380800217</t>
  </si>
  <si>
    <t>2889445362919936593</t>
  </si>
  <si>
    <t>2889453550512640507</t>
  </si>
  <si>
    <t>2889485025668096985</t>
  </si>
  <si>
    <t>2889495533448192910</t>
  </si>
  <si>
    <t>2889545566891008489</t>
  </si>
  <si>
    <t>2889545832066048669</t>
  </si>
  <si>
    <t>2889566805748736961</t>
  </si>
  <si>
    <t>2889613025733632310</t>
  </si>
  <si>
    <t>2889648246778880283</t>
  </si>
  <si>
    <t>2889653749639680781</t>
  </si>
  <si>
    <t>2889711819992064528</t>
  </si>
  <si>
    <t>2889821184388096990</t>
  </si>
  <si>
    <t>2889986187029504925</t>
  </si>
  <si>
    <t>2889986249730560157</t>
  </si>
  <si>
    <t>2890074809854464203</t>
  </si>
  <si>
    <t>2890086691875840415</t>
  </si>
  <si>
    <t>2890892286946304186</t>
  </si>
  <si>
    <t>2890918058666496952</t>
  </si>
  <si>
    <t>2890949747370496914</t>
  </si>
  <si>
    <t>2890953620073472455</t>
  </si>
  <si>
    <t>2890985565547520177</t>
  </si>
  <si>
    <t>2891032071252480812</t>
  </si>
  <si>
    <t>2891053686205440337</t>
  </si>
  <si>
    <t>2891075144625152737</t>
  </si>
  <si>
    <t>2891112024828416468</t>
  </si>
  <si>
    <t>2891114051824640118</t>
  </si>
  <si>
    <t>2891187439954432019</t>
  </si>
  <si>
    <t>2891188505782784103</t>
  </si>
  <si>
    <t>2891197339707904194</t>
  </si>
  <si>
    <t>2891344560974848444</t>
  </si>
  <si>
    <t>2891368881596928611</t>
  </si>
  <si>
    <t>2891383356697600847</t>
  </si>
  <si>
    <t>2891387670669824035</t>
  </si>
  <si>
    <t>2891409629670400910</t>
  </si>
  <si>
    <t>2891460284721664611</t>
  </si>
  <si>
    <t>2891471233542656209</t>
  </si>
  <si>
    <t>2891479829391872911</t>
  </si>
  <si>
    <t>2891498850610176625</t>
  </si>
  <si>
    <t>2891499486505984806</t>
  </si>
  <si>
    <t>2892282450405888689</t>
  </si>
  <si>
    <t>2892322439244800246</t>
  </si>
  <si>
    <t>2892332812216832764</t>
  </si>
  <si>
    <t>2892373632920064177</t>
  </si>
  <si>
    <t>2892405129914880705</t>
  </si>
  <si>
    <t>2892550079228416342</t>
  </si>
  <si>
    <t>2892586061900288337</t>
  </si>
  <si>
    <t>2892793614510592121</t>
  </si>
  <si>
    <t>2892822778604032883</t>
  </si>
  <si>
    <t>2892874094193664617</t>
  </si>
  <si>
    <t>2892878914398720685</t>
  </si>
  <si>
    <t>2892904016473088403</t>
  </si>
  <si>
    <t>2892949168712704339</t>
  </si>
  <si>
    <t>2894028720090112565</t>
  </si>
  <si>
    <t>2894080999762432997</t>
  </si>
  <si>
    <t>2894164192472064871</t>
  </si>
  <si>
    <t>2894260696837120924</t>
  </si>
  <si>
    <t>2894289416661504538</t>
  </si>
  <si>
    <t>2894337140370432332</t>
  </si>
  <si>
    <t>2894363992157184079</t>
  </si>
  <si>
    <t>2895171689572864337</t>
  </si>
  <si>
    <t>2895412296985600508</t>
  </si>
  <si>
    <t>2895451694935040377</t>
  </si>
  <si>
    <t>2895468370848256462</t>
  </si>
  <si>
    <t>2895532160920064503</t>
  </si>
  <si>
    <t>2895570056210944337</t>
  </si>
  <si>
    <t>2895610356034048652</t>
  </si>
  <si>
    <t>2895615746485248694</t>
  </si>
  <si>
    <t>2895650720427008048</t>
  </si>
  <si>
    <t>2895735519685632820</t>
  </si>
  <si>
    <t>2895748576865280754</t>
  </si>
  <si>
    <t>2895756558232064148</t>
  </si>
  <si>
    <t>2896526196943872966</t>
  </si>
  <si>
    <t>2896537619983360355</t>
  </si>
  <si>
    <t>2896603789110272148</t>
  </si>
  <si>
    <t>2896730421570560586</t>
  </si>
  <si>
    <t>2896740449086464862</t>
  </si>
  <si>
    <t>2896755000404992071</t>
  </si>
  <si>
    <t>2896942352395264412</t>
  </si>
  <si>
    <t>2896996235241984617</t>
  </si>
  <si>
    <t>2897030665923584379</t>
  </si>
  <si>
    <t>2897081959983616624</t>
  </si>
  <si>
    <t>2897104951028224332</t>
  </si>
  <si>
    <t>2897123565775360869</t>
  </si>
  <si>
    <t>2897167263967744920</t>
  </si>
  <si>
    <t>2897188852230656889</t>
  </si>
  <si>
    <t>2897203033435136428</t>
  </si>
  <si>
    <t>2897958208154624679</t>
  </si>
  <si>
    <t>2897972871047680433</t>
  </si>
  <si>
    <t>2898042792536576557</t>
  </si>
  <si>
    <t>2898068073786368323</t>
  </si>
  <si>
    <t>2898125898181632169</t>
  </si>
  <si>
    <t>2898135750847488121</t>
  </si>
  <si>
    <t>2898177265543680888</t>
  </si>
  <si>
    <t>2898183603038720939</t>
  </si>
  <si>
    <t>2898210548361728802</t>
  </si>
  <si>
    <t>2898220842757120165</t>
  </si>
  <si>
    <t>2898274051680768297</t>
  </si>
  <si>
    <t>2898344663968768481</t>
  </si>
  <si>
    <t>2898347551157248098</t>
  </si>
  <si>
    <t>2898425192147968567</t>
  </si>
  <si>
    <t>2898427796155392044</t>
  </si>
  <si>
    <t>2898532847217664973</t>
  </si>
  <si>
    <t>2898552553662976460</t>
  </si>
  <si>
    <t>2898571350993920113</t>
  </si>
  <si>
    <t>2898587449453056483</t>
  </si>
  <si>
    <t>2899351659244544532</t>
  </si>
  <si>
    <t>2899368445716992871</t>
  </si>
  <si>
    <t>2899430460288000165</t>
  </si>
  <si>
    <t>2899549680019968611</t>
  </si>
  <si>
    <t>2899702391728640138</t>
  </si>
  <si>
    <t>2899767792266240556</t>
  </si>
  <si>
    <t>2899849676303360817</t>
  </si>
  <si>
    <t>2899906658806272463</t>
  </si>
  <si>
    <t>2899908700777472609</t>
  </si>
  <si>
    <t>2899918919396352256</t>
  </si>
  <si>
    <t>2899932812487680453</t>
  </si>
  <si>
    <t>2899998493157888186</t>
  </si>
  <si>
    <t>2899999790803456499</t>
  </si>
  <si>
    <t>2900023900466176115</t>
  </si>
  <si>
    <t>2900959700380672411</t>
  </si>
  <si>
    <t>2901039762745856623</t>
  </si>
  <si>
    <t>2901114112961536389</t>
  </si>
  <si>
    <t>2901206285330944391</t>
  </si>
  <si>
    <t>2901224010525696708</t>
  </si>
  <si>
    <t>2901266803764224900</t>
  </si>
  <si>
    <t>2901314522917376436</t>
  </si>
  <si>
    <t>2901317529152512919</t>
  </si>
  <si>
    <t>2901337373207040428</t>
  </si>
  <si>
    <t>2901398046042624376</t>
  </si>
  <si>
    <t>2901425709919232880</t>
  </si>
  <si>
    <t>2902214821653504716</t>
  </si>
  <si>
    <t>2902240181414400160</t>
  </si>
  <si>
    <t>2902535308175872189</t>
  </si>
  <si>
    <t>2902713681881600846</t>
  </si>
  <si>
    <t>2902730534447616202</t>
  </si>
  <si>
    <t>2902739359459840868</t>
  </si>
  <si>
    <t>2902750085295104880</t>
  </si>
  <si>
    <t>2902769328351744611</t>
  </si>
  <si>
    <t>2902842461186560609</t>
  </si>
  <si>
    <t>2902847785773568074</t>
  </si>
  <si>
    <t>2903804666702336072</t>
  </si>
  <si>
    <t>2903841395190272462</t>
  </si>
  <si>
    <t>2903868253678592337</t>
  </si>
  <si>
    <t>2903885700033024433</t>
  </si>
  <si>
    <t>2904107258554880518</t>
  </si>
  <si>
    <t>2904163438160384231</t>
  </si>
  <si>
    <t>2904198009776640704</t>
  </si>
  <si>
    <t>2904238348971008994</t>
  </si>
  <si>
    <t>2905184883092480617</t>
  </si>
  <si>
    <t>2905253360364032601</t>
  </si>
  <si>
    <t>2906648083344384503</t>
  </si>
  <si>
    <t>2906654541130240875</t>
  </si>
  <si>
    <t>2906752437250560274</t>
  </si>
  <si>
    <t>2906832746490880389</t>
  </si>
  <si>
    <t>2906979865242112420</t>
  </si>
  <si>
    <t>2907027329281024942</t>
  </si>
  <si>
    <t>2907067744922624484</t>
  </si>
  <si>
    <t>2907842605885952287</t>
  </si>
  <si>
    <t>2907887496407552453</t>
  </si>
  <si>
    <t>2907986311375360908</t>
  </si>
  <si>
    <t>2908027927489024008</t>
  </si>
  <si>
    <t>2908162033494528552</t>
  </si>
  <si>
    <t>2908337362168832494</t>
  </si>
  <si>
    <t>2908510925925376942</t>
  </si>
  <si>
    <t>2909546907970048709</t>
  </si>
  <si>
    <t>2909633008315392581</t>
  </si>
  <si>
    <t>2909663624292864487</t>
  </si>
  <si>
    <t>2909677426371584268</t>
  </si>
  <si>
    <t>2909728405416448332</t>
  </si>
  <si>
    <t>2909740288224256679</t>
  </si>
  <si>
    <t>2909787259939328942</t>
  </si>
  <si>
    <t>2909825981459456852</t>
  </si>
  <si>
    <t>2909851777657856910</t>
  </si>
  <si>
    <t>2909854201818112118</t>
  </si>
  <si>
    <t>2910667058293248942</t>
  </si>
  <si>
    <t>2910769016269824177</t>
  </si>
  <si>
    <t>2910775343737344209</t>
  </si>
  <si>
    <t>2910814550518784617</t>
  </si>
  <si>
    <t>2911050531122176990</t>
  </si>
  <si>
    <t>2911075492310016337</t>
  </si>
  <si>
    <t>2911110935063552256</t>
  </si>
  <si>
    <t>2911121113312256332</t>
  </si>
  <si>
    <t>2911141931133952679</t>
  </si>
  <si>
    <t>2911147755301888856</t>
  </si>
  <si>
    <t>2911150985096192627</t>
  </si>
  <si>
    <t>2911290829794304812</t>
  </si>
  <si>
    <t>2912147724610048340</t>
  </si>
  <si>
    <t>2912200310893568397</t>
  </si>
  <si>
    <t>2912229452114944750</t>
  </si>
  <si>
    <t>2912306676739072056</t>
  </si>
  <si>
    <t>2912508552195072708</t>
  </si>
  <si>
    <t>2912521027152896566</t>
  </si>
  <si>
    <t>2912618865043968592</t>
  </si>
  <si>
    <t>2912709852113920274</t>
  </si>
  <si>
    <t>2912725800921600554</t>
  </si>
  <si>
    <t>2912728097843712030</t>
  </si>
  <si>
    <t>2912730763553792969</t>
  </si>
  <si>
    <t>2912755586083840169</t>
  </si>
  <si>
    <t>2912760001538560992</t>
  </si>
  <si>
    <t>2912781266906112403</t>
  </si>
  <si>
    <t>2913557441981440337</t>
  </si>
  <si>
    <t>2913767463070720835</t>
  </si>
  <si>
    <t>2913767630973440224</t>
  </si>
  <si>
    <t>2913955509709824448</t>
  </si>
  <si>
    <t>2914046905920512370</t>
  </si>
  <si>
    <t>2914108988254720942</t>
  </si>
  <si>
    <t>2914117678639616914</t>
  </si>
  <si>
    <t>2914141977029632643</t>
  </si>
  <si>
    <t>2914184959961600345</t>
  </si>
  <si>
    <t>2915168944646656910</t>
  </si>
  <si>
    <t>2915188919511552218</t>
  </si>
  <si>
    <t>2915308104739840448</t>
  </si>
  <si>
    <t>2915318076255232942</t>
  </si>
  <si>
    <t>2915367848241664743</t>
  </si>
  <si>
    <t>2915401151687168610</t>
  </si>
  <si>
    <t>2915404317535232202</t>
  </si>
  <si>
    <t>2915435163200513112</t>
  </si>
  <si>
    <t>2915445273471488332</t>
  </si>
  <si>
    <t>2915505418004992617</t>
  </si>
  <si>
    <t>2915544198015488288</t>
  </si>
  <si>
    <t>2915550700120576935</t>
  </si>
  <si>
    <t>2916348299864576187</t>
  </si>
  <si>
    <t>2916369030835204605</t>
  </si>
  <si>
    <t>2916695269059072520</t>
  </si>
  <si>
    <t>2916735190707200177</t>
  </si>
  <si>
    <t>2916825687665664337</t>
  </si>
  <si>
    <t>2916906927827968696</t>
  </si>
  <si>
    <t>2916919010503168749</t>
  </si>
  <si>
    <t>2916937715002368867</t>
  </si>
  <si>
    <t>2916942758456320484</t>
  </si>
  <si>
    <t>2916967251422208942</t>
  </si>
  <si>
    <t>2917028005325824641</t>
  </si>
  <si>
    <t>2917747143797760992</t>
  </si>
  <si>
    <t>2917820298161152177</t>
  </si>
  <si>
    <t>2917909387667968538</t>
  </si>
  <si>
    <t>2918017309370880838</t>
  </si>
  <si>
    <t>2918063110482432224</t>
  </si>
  <si>
    <t>2918219392068096942</t>
  </si>
  <si>
    <t>2918242288658944025</t>
  </si>
  <si>
    <t>2918356619651584843</t>
  </si>
  <si>
    <t>2918392120994816679</t>
  </si>
  <si>
    <t>2918395811048448200</t>
  </si>
  <si>
    <t>2919191397395456348</t>
  </si>
  <si>
    <t>2919229468978177942</t>
  </si>
  <si>
    <t>2919245058894336617</t>
  </si>
  <si>
    <t>2919280801016320566</t>
  </si>
  <si>
    <t>2920690348321792556</t>
  </si>
  <si>
    <t>2920915721759232835</t>
  </si>
  <si>
    <t>2920934847835136753</t>
  </si>
  <si>
    <t>2921000408033792760</t>
  </si>
  <si>
    <t>2921004014643712760</t>
  </si>
  <si>
    <t>2921027564218880566</t>
  </si>
  <si>
    <t>2921068980775936789</t>
  </si>
  <si>
    <t>2921070154296320968</t>
  </si>
  <si>
    <t>2921125275232768019</t>
  </si>
  <si>
    <t>2921181262637568329</t>
  </si>
  <si>
    <t>2921200217451520667</t>
  </si>
  <si>
    <t>2921244183882240867</t>
  </si>
  <si>
    <t>2921253314161664209</t>
  </si>
  <si>
    <t>2921269734910464613</t>
  </si>
  <si>
    <t>2921275474389504736</t>
  </si>
  <si>
    <t>2922153964382720337</t>
  </si>
  <si>
    <t>2922277840612352610</t>
  </si>
  <si>
    <t>2922359436470784835</t>
  </si>
  <si>
    <t>2922365825756160873</t>
  </si>
  <si>
    <t>2922585674460160635</t>
  </si>
  <si>
    <t>2922631645817856101</t>
  </si>
  <si>
    <t>2922635289242112772</t>
  </si>
  <si>
    <t>2922684225088000281</t>
  </si>
  <si>
    <t>2923467372243968337</t>
  </si>
  <si>
    <t>2923511728368128647</t>
  </si>
  <si>
    <t>2923527105292800177</t>
  </si>
  <si>
    <t>2923568986139136428</t>
  </si>
  <si>
    <t>2923729664518656274</t>
  </si>
  <si>
    <t>2923741649316864119</t>
  </si>
  <si>
    <t>2923753368087040553</t>
  </si>
  <si>
    <t>2923764893461504317</t>
  </si>
  <si>
    <t>2923846318582272034</t>
  </si>
  <si>
    <t>2923875399313920078</t>
  </si>
  <si>
    <t>2923896624786432301</t>
  </si>
  <si>
    <t>2923946210421760026</t>
  </si>
  <si>
    <t>2923984495782400779</t>
  </si>
  <si>
    <t>2924007004761088113</t>
  </si>
  <si>
    <t>2924037466581504345</t>
  </si>
  <si>
    <t>2924052722887680079</t>
  </si>
  <si>
    <t>2924080682019840145</t>
  </si>
  <si>
    <t>2925011092220416733</t>
  </si>
  <si>
    <t>2925100670396928702</t>
  </si>
  <si>
    <t>2925144332381184750</t>
  </si>
  <si>
    <t>2925161776212992764</t>
  </si>
  <si>
    <t>2925216435874304459</t>
  </si>
  <si>
    <t>2925233090292736423</t>
  </si>
  <si>
    <t>2925246406142464679</t>
  </si>
  <si>
    <t>2925249952672768750</t>
  </si>
  <si>
    <t>2925268415474688056</t>
  </si>
  <si>
    <t>2925273279441920332</t>
  </si>
  <si>
    <t>2925287320840704565</t>
  </si>
  <si>
    <t>2925307303832064694</t>
  </si>
  <si>
    <t>2925391419927552463</t>
  </si>
  <si>
    <t>2925469524879872007</t>
  </si>
  <si>
    <t>2925473156361216772</t>
  </si>
  <si>
    <t>2925487918607360253</t>
  </si>
  <si>
    <t>2925526850808832373</t>
  </si>
  <si>
    <t>2926306129275904702</t>
  </si>
  <si>
    <t>2926608111151616729</t>
  </si>
  <si>
    <t>2926696708991488410</t>
  </si>
  <si>
    <t>2926701210282496658</t>
  </si>
  <si>
    <t>2926728733633536391</t>
  </si>
  <si>
    <t>2926755752815616306</t>
  </si>
  <si>
    <t>2926763894532608436</t>
  </si>
  <si>
    <t>2926773720852992286</t>
  </si>
  <si>
    <t>2926827058457600733</t>
  </si>
  <si>
    <t>2926854267644416798</t>
  </si>
  <si>
    <t>2926898314275840433</t>
  </si>
  <si>
    <t>2926901698554880972</t>
  </si>
  <si>
    <t>2927670996740608472</t>
  </si>
  <si>
    <t>2927716211141633161</t>
  </si>
  <si>
    <t>2927726868277760056</t>
  </si>
  <si>
    <t>2927808900869120019</t>
  </si>
  <si>
    <t>2927870947306496610</t>
  </si>
  <si>
    <t>2927942377515520436</t>
  </si>
  <si>
    <t>2928213444143616384</t>
  </si>
  <si>
    <t>2928226875108352453</t>
  </si>
  <si>
    <t>2928241728629248229</t>
  </si>
  <si>
    <t>2928246964103680942</t>
  </si>
  <si>
    <t>2928248552778752752</t>
  </si>
  <si>
    <t>2928256759310848129</t>
  </si>
  <si>
    <t>2928277748984832319</t>
  </si>
  <si>
    <t>2928330585074688281</t>
  </si>
  <si>
    <t>2928334486727680531</t>
  </si>
  <si>
    <t>2929091796446208390</t>
  </si>
  <si>
    <t>2929153190341120430</t>
  </si>
  <si>
    <t>2929200665078272617</t>
  </si>
  <si>
    <t>2929240864746496911</t>
  </si>
  <si>
    <t>2929394447247872760</t>
  </si>
  <si>
    <t>2929495474318336245</t>
  </si>
  <si>
    <t>2929506894703616227</t>
  </si>
  <si>
    <t>2929592772062208856</t>
  </si>
  <si>
    <t>2929604512524800608</t>
  </si>
  <si>
    <t>2929607653583872531</t>
  </si>
  <si>
    <t>2929677342796288976</t>
  </si>
  <si>
    <t>2929693050317824465</t>
  </si>
  <si>
    <t>2929714983431168433</t>
  </si>
  <si>
    <t>2929752160414208942</t>
  </si>
  <si>
    <t>2930905686551552177</t>
  </si>
  <si>
    <t>2931103918434816974</t>
  </si>
  <si>
    <t>2931132037426176574</t>
  </si>
  <si>
    <t>2931137269623296438</t>
  </si>
  <si>
    <t>2931161117731328424</t>
  </si>
  <si>
    <t>2931186650754048704</t>
  </si>
  <si>
    <t>2932425145444864137</t>
  </si>
  <si>
    <t>2932436962929664484</t>
  </si>
  <si>
    <t>2932456613358592942</t>
  </si>
  <si>
    <t>2932496679824384779</t>
  </si>
  <si>
    <t>2932508813241344150</t>
  </si>
  <si>
    <t>2932515391269376229</t>
  </si>
  <si>
    <t>2932521944214528725</t>
  </si>
  <si>
    <t>2932538469100032637</t>
  </si>
  <si>
    <t>2932549492238848950</t>
  </si>
  <si>
    <t>2932564742974464471</t>
  </si>
  <si>
    <t>2933331368946176725</t>
  </si>
  <si>
    <t>2933367837420032337</t>
  </si>
  <si>
    <t>2933370134621184247</t>
  </si>
  <si>
    <t>2933459693316608286</t>
  </si>
  <si>
    <t>2933501823248896857</t>
  </si>
  <si>
    <t>2933559805127680003</t>
  </si>
  <si>
    <t>2933601987045888563</t>
  </si>
  <si>
    <t>2933609347132416630</t>
  </si>
  <si>
    <t>2933610562742784720</t>
  </si>
  <si>
    <t>2933631410907648201</t>
  </si>
  <si>
    <t>2933645595781632069</t>
  </si>
  <si>
    <t>2933681638730752966</t>
  </si>
  <si>
    <t>2933718409522176523</t>
  </si>
  <si>
    <t>2933820714150400942</t>
  </si>
  <si>
    <t>2933840309529088182</t>
  </si>
  <si>
    <t>2933842231225344532</t>
  </si>
  <si>
    <t>2933860953860608759</t>
  </si>
  <si>
    <t>2933944249461760301</t>
  </si>
  <si>
    <t>2933948735630336496</t>
  </si>
  <si>
    <t>2933955483560448670</t>
  </si>
  <si>
    <t>2933960110812160663</t>
  </si>
  <si>
    <t>2933988620299264433</t>
  </si>
  <si>
    <t>2934775719046144605</t>
  </si>
  <si>
    <t>2934806812797952468</t>
  </si>
  <si>
    <t>2934862823730176428</t>
  </si>
  <si>
    <t>2934890755042304177</t>
  </si>
  <si>
    <t>2934926204086784340</t>
  </si>
  <si>
    <t>2934939551377920531</t>
  </si>
  <si>
    <t>2934972165990912955</t>
  </si>
  <si>
    <t>2935019099744768752</t>
  </si>
  <si>
    <t>2935039525727232702</t>
  </si>
  <si>
    <t>2935046553594368453</t>
  </si>
  <si>
    <t>2935079698672128245</t>
  </si>
  <si>
    <t>2935197532826624181</t>
  </si>
  <si>
    <t>2935244580580352137</t>
  </si>
  <si>
    <t>2935291562322944383</t>
  </si>
  <si>
    <t>2935358519782400942</t>
  </si>
  <si>
    <t>2935371079477760520</t>
  </si>
  <si>
    <t>2935373536684544262</t>
  </si>
  <si>
    <t>2935394019961856099</t>
  </si>
  <si>
    <t>2935413176101888531</t>
  </si>
  <si>
    <t>2936152071514624842</t>
  </si>
  <si>
    <t>2936171896744448484</t>
  </si>
  <si>
    <t>2936283741662208468</t>
  </si>
  <si>
    <t>2936388507871744136</t>
  </si>
  <si>
    <t>2936480533899776882</t>
  </si>
  <si>
    <t>2936618856704512562</t>
  </si>
  <si>
    <t>2936648086695424188</t>
  </si>
  <si>
    <t>2936657769868800700</t>
  </si>
  <si>
    <t>2936716485323264113</t>
  </si>
  <si>
    <t>2936722959673856779</t>
  </si>
  <si>
    <t>2936725105125888551</t>
  </si>
  <si>
    <t>2936817355664896942</t>
  </si>
  <si>
    <t>2936822872206848232</t>
  </si>
  <si>
    <t>2937762234035712802</t>
  </si>
  <si>
    <t>2937799970073088033</t>
  </si>
  <si>
    <t>2937843003977216373</t>
  </si>
  <si>
    <t>2938015063632384759</t>
  </si>
  <si>
    <t>2938043989109248610</t>
  </si>
  <si>
    <t>2938053441317376192</t>
  </si>
  <si>
    <t>2938228736634368729</t>
  </si>
  <si>
    <t>2939059247720960404</t>
  </si>
  <si>
    <t>2939200182038016036</t>
  </si>
  <si>
    <t>2939249647578624958</t>
  </si>
  <si>
    <t>2939392665315840337</t>
  </si>
  <si>
    <t>2939412148579840339</t>
  </si>
  <si>
    <t>2939512775797248608</t>
  </si>
  <si>
    <t>2939521857006080846</t>
  </si>
  <si>
    <t>2940475391945216705</t>
  </si>
  <si>
    <t>2940504167246336089</t>
  </si>
  <si>
    <t>2940553444224512177</t>
  </si>
  <si>
    <t>2940556712667648028</t>
  </si>
  <si>
    <t>2940558212247040942</t>
  </si>
  <si>
    <t>2940590737254912663</t>
  </si>
  <si>
    <t>2940788544875008339</t>
  </si>
  <si>
    <t>2940835771394560389</t>
  </si>
  <si>
    <t>2940854393859584310</t>
  </si>
  <si>
    <t>2940859934600704308</t>
  </si>
  <si>
    <t>2940963545116160100</t>
  </si>
  <si>
    <t>2940977072564736529</t>
  </si>
  <si>
    <t>2940986345974272336</t>
  </si>
  <si>
    <t>2940989820841472360</t>
  </si>
  <si>
    <t>2941008949586432982</t>
  </si>
  <si>
    <t>2941012192718336877</t>
  </si>
  <si>
    <t>2941050324659712036</t>
  </si>
  <si>
    <t>2941064173415936996</t>
  </si>
  <si>
    <t>COUNTA of platform_order_id</t>
  </si>
  <si>
    <t>SUM of gross_amount</t>
  </si>
  <si>
    <t>SUM of commision_amount</t>
  </si>
  <si>
    <t>SUM of subsidy_amount</t>
  </si>
  <si>
    <t>SUM of net_amount</t>
  </si>
  <si>
    <t>Grand Total</t>
  </si>
  <si>
    <t>total_order</t>
  </si>
  <si>
    <t>key metrics</t>
  </si>
  <si>
    <t>value</t>
  </si>
  <si>
    <t>total orders:</t>
  </si>
  <si>
    <t>gross revenue:</t>
  </si>
  <si>
    <t>net revenue:</t>
  </si>
  <si>
    <t>platform_fee_ratio:</t>
  </si>
  <si>
    <t>average_order_value:</t>
  </si>
  <si>
    <t>Shopefood Sales Performance Dashboard</t>
  </si>
  <si>
    <t>Nov 2025 - Jan 2026</t>
  </si>
  <si>
    <t>Total Orders</t>
  </si>
  <si>
    <t>Gross Revenue</t>
  </si>
  <si>
    <t>Net Revenue</t>
  </si>
  <si>
    <t>Platform Fee Ratio%</t>
  </si>
  <si>
    <t>AOV</t>
  </si>
  <si>
    <t>Section</t>
  </si>
  <si>
    <t>Insight</t>
  </si>
  <si>
    <t>Overview</t>
  </si>
  <si>
    <t>Analysis covers shopefood transaction from Nov 2025 to Jan 2026 with a total of 1,089 orders. The objective is to understand revenue performance, platform cost structure and customer ordering behavior.</t>
  </si>
  <si>
    <t>Revenue Performance</t>
  </si>
  <si>
    <t>Total gross revenue reached Rp39,971,400 with net revenue of Rp Rp22,056,260 over the period. Monthly performance remained relatively stable, indicating consistent demand without significant growth or decline</t>
  </si>
  <si>
    <t>Platform Cost</t>
  </si>
  <si>
    <t>Platform fees accounted for approximately 44.82% of gross transaction value, showing that commissions and promotional subsidies represent a substantial portion of total revenue. This suggest margin sesitivity to promotional intensity.</t>
  </si>
  <si>
    <t>Customer Behavior</t>
  </si>
  <si>
    <t>The average order value (AOV) was around Rp36.7K per transaction, which is typical for quick-service food categories. There is potential to increase revenue per customer through bundle offerings or upselling strategies.</t>
  </si>
  <si>
    <t>Peak Hours</t>
  </si>
  <si>
    <t>Order distribution shows clear concentration during evening hours, particularly between 8PM and 10PM. Dinner time represents the primary revenue driver, while midday demand is comparatively lower.</t>
  </si>
  <si>
    <t>Key Takeaways</t>
  </si>
  <si>
    <t>• Revenue performance is stable but not yet in a grow phase. 
• Platform costs significantly affect net revenue.
• Evening hours are the most critical sales window.
• Increasing AOV presents the main opportunity for revenue improvement</t>
  </si>
  <si>
    <t>Recommendation</t>
  </si>
  <si>
    <t>• Focus promotions during peak evening hours to maximize return
• Introduce bundled menu packages to increase AOV
• Monitor subsidy usage to improve margin efficiency</t>
  </si>
  <si>
    <t>store_name</t>
  </si>
  <si>
    <t>ayam kremes sambel bawang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</si>
</sst>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m/d/yyyy"/>
    <numFmt numFmtId="166" formatCode="&quot; &quot;mmmm&quot; &quot;yyyy"/>
    <numFmt numFmtId="167" formatCode="[$Rp]#,##0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Roboto"/>
    </font>
    <font>
      <b/>
      <sz val="18.0"/>
      <color theme="1"/>
      <name val="Roboto"/>
    </font>
    <font>
      <b/>
      <sz val="27.0"/>
      <color theme="1"/>
      <name val="Roboto"/>
    </font>
    <font>
      <sz val="12.0"/>
      <color rgb="FF666666"/>
      <name val="Roboto"/>
    </font>
    <font/>
    <font>
      <color theme="1"/>
      <name val="Roboto"/>
    </font>
    <font>
      <color rgb="FF666666"/>
      <name val="Roboto"/>
    </font>
    <font>
      <sz val="13.0"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166" xfId="0" applyFont="1" applyNumberFormat="1"/>
    <xf borderId="0" fillId="0" fontId="1" numFmtId="0" xfId="0" applyFont="1"/>
    <xf borderId="0" fillId="0" fontId="1" numFmtId="167" xfId="0" applyFont="1" applyNumberFormat="1"/>
    <xf borderId="0" fillId="0" fontId="1" numFmtId="167" xfId="0" applyAlignment="1" applyFont="1" applyNumberFormat="1">
      <alignment readingOrder="0"/>
    </xf>
    <xf borderId="0" fillId="0" fontId="1" numFmtId="167" xfId="0" applyFont="1" applyNumberFormat="1"/>
    <xf borderId="0" fillId="0" fontId="1" numFmtId="10" xfId="0" applyFont="1" applyNumberFormat="1"/>
    <xf borderId="0" fillId="2" fontId="2" numFmtId="0" xfId="0" applyAlignment="1" applyFill="1" applyFont="1">
      <alignment horizontal="center"/>
    </xf>
    <xf borderId="0" fillId="2" fontId="3" numFmtId="0" xfId="0" applyAlignment="1" applyFont="1">
      <alignment horizontal="left" readingOrder="0"/>
    </xf>
    <xf borderId="0" fillId="2" fontId="4" numFmtId="0" xfId="0" applyAlignment="1" applyFont="1">
      <alignment horizontal="center" readingOrder="0"/>
    </xf>
    <xf borderId="0" fillId="2" fontId="5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1" fillId="3" fontId="4" numFmtId="167" xfId="0" applyAlignment="1" applyBorder="1" applyFill="1" applyFont="1" applyNumberFormat="1">
      <alignment horizontal="center" readingOrder="0"/>
    </xf>
    <xf borderId="0" fillId="3" fontId="2" numFmtId="0" xfId="0" applyAlignment="1" applyFont="1">
      <alignment horizontal="center"/>
    </xf>
    <xf borderId="1" fillId="3" fontId="4" numFmtId="10" xfId="0" applyAlignment="1" applyBorder="1" applyFont="1" applyNumberFormat="1">
      <alignment horizontal="center" readingOrder="0"/>
    </xf>
    <xf borderId="2" fillId="0" fontId="6" numFmtId="0" xfId="0" applyBorder="1" applyFont="1"/>
    <xf borderId="0" fillId="0" fontId="7" numFmtId="0" xfId="0" applyAlignment="1" applyFont="1">
      <alignment horizontal="center"/>
    </xf>
    <xf borderId="3" fillId="3" fontId="5" numFmtId="0" xfId="0" applyAlignment="1" applyBorder="1" applyFont="1">
      <alignment horizontal="center" readingOrder="0"/>
    </xf>
    <xf borderId="0" fillId="3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3" fontId="9" numFmtId="0" xfId="0" applyAlignment="1" applyFont="1">
      <alignment readingOrder="0"/>
    </xf>
    <xf borderId="0" fillId="0" fontId="7" numFmtId="0" xfId="0" applyFont="1"/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66666"/>
        </left>
        <right style="thin">
          <color rgb="FF666666"/>
        </right>
        <top style="thin">
          <color rgb="FF666666"/>
        </top>
        <bottom style="thin">
          <color rgb="FF666666"/>
        </bottom>
      </border>
    </dxf>
  </dxfs>
  <tableStyles count="1">
    <tableStyle count="4" pivot="0" name="insight_not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 Distribution by Hour (Nov 2025 - Jan 2026)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pivot_hourly!$B$1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pivot_hourly!$A$2:$A$15</c:f>
            </c:strRef>
          </c:cat>
          <c:val>
            <c:numRef>
              <c:f>pivot_hourly!$B$2:$B$15</c:f>
              <c:numCache/>
            </c:numRef>
          </c:val>
        </c:ser>
        <c:axId val="518007605"/>
        <c:axId val="1417890123"/>
      </c:barChart>
      <c:catAx>
        <c:axId val="5180076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7890123"/>
      </c:catAx>
      <c:valAx>
        <c:axId val="14178901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80076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 Distribution by Hour (Nov 2025 - Jan 2026)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pivot_hourly!$B$1</c:f>
            </c:strRef>
          </c:tx>
          <c:spPr>
            <a:solidFill>
              <a:srgbClr val="9FC5E8"/>
            </a:solidFill>
            <a:ln cmpd="sng">
              <a:solidFill>
                <a:srgbClr val="000000"/>
              </a:solidFill>
            </a:ln>
          </c:spPr>
          <c:cat>
            <c:strRef>
              <c:f>pivot_hourly!$A$2:$A$15</c:f>
            </c:strRef>
          </c:cat>
          <c:val>
            <c:numRef>
              <c:f>pivot_hourly!$B$2:$B$15</c:f>
              <c:numCache/>
            </c:numRef>
          </c:val>
        </c:ser>
        <c:axId val="1684315941"/>
        <c:axId val="888000488"/>
      </c:barChart>
      <c:catAx>
        <c:axId val="1684315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8000488"/>
      </c:catAx>
      <c:valAx>
        <c:axId val="888000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43159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Net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pivot_monthly!$F$1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pivot_monthly!$A$2:$A$4</c:f>
            </c:strRef>
          </c:cat>
          <c:val>
            <c:numRef>
              <c:f>pivot_monthly!$F$2:$F$4</c:f>
              <c:numCache/>
            </c:numRef>
          </c:val>
        </c:ser>
        <c:axId val="1342760670"/>
        <c:axId val="1304482367"/>
      </c:barChart>
      <c:catAx>
        <c:axId val="1342760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4482367"/>
      </c:catAx>
      <c:valAx>
        <c:axId val="13044823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2760670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647700</xdr:colOff>
      <xdr:row>2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1057275</xdr:colOff>
      <xdr:row>8</xdr:row>
      <xdr:rowOff>0</xdr:rowOff>
    </xdr:from>
    <xdr:ext cx="5038725" cy="31146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371475</xdr:colOff>
      <xdr:row>8</xdr:row>
      <xdr:rowOff>0</xdr:rowOff>
    </xdr:from>
    <xdr:ext cx="5114925" cy="31146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589" sheet="staging_sales"/>
  </cacheSource>
  <cacheFields>
    <cacheField name="platform" numFmtId="0">
      <sharedItems containsBlank="1">
        <s v="shopeefood"/>
        <m/>
      </sharedItems>
    </cacheField>
    <cacheField name="platform_order_id">
      <sharedItems containsBlank="1" containsMixedTypes="1" containsNumber="1" containsInteger="1">
        <s v="2811601005300736156"/>
        <s v="2811658427779072474"/>
        <s v="2811780845799424389"/>
        <s v="2811967361435648118"/>
        <s v="2811989790673920250"/>
        <s v="2812034214808576109"/>
        <s v="2812081837787136935"/>
        <s v="2812130801846272293"/>
        <s v="2812112993880064778"/>
        <s v="2812189755918336340"/>
        <s v="2812210614389760752"/>
        <s v="2813010977048576340"/>
        <s v="2813036268489728912"/>
        <s v="2813078999108608566"/>
        <s v="2813147372685312379"/>
        <s v="2813218456243200389"/>
        <s v="2813261274319872240"/>
        <s v="2813301942062080781"/>
        <s v="2813367446784000990"/>
        <s v="2813595287096320785"/>
        <s v="2813599568758784858"/>
        <s v="2813619548670976165"/>
        <s v="2813672839580672851"/>
        <s v="2813688489134080131"/>
        <s v="2813676948622336008"/>
        <s v="2814417656941568200"/>
        <s v="2814518359673856377"/>
        <s v="2814547316279296025"/>
        <s v="2814581648411648750"/>
        <s v="2814833128359936037"/>
        <s v="2814842742999040130"/>
        <s v="2814962505550848235"/>
        <s v="2815019736434688223"/>
        <s v="2815045300079616999"/>
        <s v="2815081626765312866"/>
        <s v="2815110339774464423"/>
        <s v="2815842141685760440"/>
        <s v="2815901093529600532"/>
        <s v="2815950019168256640"/>
        <s v="2815970965539840671"/>
        <s v="2816259388574720520"/>
        <s v="2816303199439872899"/>
        <s v="2816353355712512866"/>
        <s v="2816371412503552751"/>
        <s v="2816385870415872453"/>
        <s v="2816403957943296410"/>
        <s v="2816483461269504113"/>
        <s v="2816494596361216168"/>
        <s v="2817253151034368958"/>
        <s v="2817308860664832497"/>
        <s v="2817319169738752470"/>
        <s v="2817447033489408056"/>
        <s v="2817456544041984077"/>
        <s v="2817527778969600299"/>
        <s v="2817522511318016274"/>
        <s v="2817619558860800162"/>
        <s v="2817649746988032086"/>
        <s v="2817735462849536799"/>
        <s v="2817768785479680055"/>
        <s v="2817832804206592349"/>
        <s v="2817834457992192169"/>
        <s v="2817890483144704332"/>
        <s v="2817926808570880760"/>
        <s v="2818664058685440310"/>
        <s v="2818791864863744605"/>
        <s v="2818856082689024803"/>
        <s v="2818876206418944511"/>
        <s v="2818895727233024377"/>
        <s v="2819044760291328389"/>
        <s v="2819059822939136640"/>
        <s v="2819126341011456511"/>
        <s v="2819164640987136995"/>
        <s v="2819185509124096863"/>
        <s v="2819234429996032537"/>
        <s v="2819251902303232480"/>
        <s v="2819269159847936851"/>
        <s v="2820092517320704377"/>
        <s v="2820118541339648352"/>
        <s v="2820127919753216389"/>
        <s v="2820294170790912035"/>
        <s v="2820337301031936695"/>
        <s v="2820431888025600284"/>
        <s v="2820507459980288332"/>
        <s v="2820531088214016520"/>
        <s v="2820594386290688157"/>
        <s v="2820704534677504454"/>
        <s v="2820711691094016209"/>
        <s v="2820741179967488175"/>
        <s v="2821636090759168220"/>
        <s v="2821642953476096990"/>
        <s v="2821957130554368349"/>
        <s v="2821982552328192511"/>
        <s v="2822008765172736562"/>
        <s v="2822010394855424555"/>
        <s v="2822048771360768961"/>
        <s v="2822030499335168490"/>
        <s v="2822096362719232965"/>
        <s v="2822157515524096560"/>
        <s v="2822907525024768235"/>
        <s v="2822925207865344270"/>
        <s v="2822961908484096174"/>
        <s v="2823005713320960899"/>
        <s v="2823027583207424728"/>
        <s v="2823052089920512048"/>
        <s v="2823082687678465125"/>
        <s v="2823355001440256500"/>
        <s v="2823437189942272603"/>
        <s v="2823490475952128305"/>
        <s v="2823522803189760122"/>
        <s v="2823526760581120339"/>
        <s v="2823565688735744609"/>
        <s v="2823571477432320961"/>
        <s v="2823588325198848153"/>
        <s v="2824347707541504044"/>
        <s v="2824370061838336831"/>
        <s v="2824382009362432890"/>
        <s v="2824435971115008084"/>
        <s v="2824615193283584995"/>
        <s v="2824702480552960332"/>
        <s v="2824726010169344404"/>
        <s v="2824846171622400763"/>
        <s v="2824872508462080351"/>
        <s v="2824875301180928599"/>
        <s v="2824885534544896536"/>
        <s v="2824887712091136901"/>
        <s v="2824896597854208175"/>
        <s v="2824900061975552086"/>
        <s v="2824960111511552019"/>
        <s v="2824971359770112287"/>
        <s v="2825737286734848532"/>
        <s v="2825788305413120101"/>
        <s v="2825788634646528697"/>
        <s v="2825797243194368389"/>
        <s v="2825804429350400054"/>
        <s v="2825866517548032438"/>
        <s v="2825987946746880061"/>
        <s v="2826187041805312748"/>
        <s v="2826242528400385677"/>
        <s v="2826260367676416428"/>
        <s v="2826262950482944851"/>
        <s v="2826258308040704184"/>
        <s v="2826240712525824813"/>
        <s v="2826342179902976915"/>
        <s v="2826341180790272629"/>
        <s v="2827209712961536513"/>
        <s v="2827236424371200862"/>
        <s v="2827269810624000671"/>
        <s v="2827474729290752997"/>
        <s v="2827482883476480704"/>
        <s v="2827584153455616223"/>
        <s v="2827596729108480454"/>
        <s v="2827608531241984579"/>
        <s v="2827634263854080537"/>
        <s v="2827655587941376310"/>
        <s v="2827746138491904048"/>
        <s v="2827841070287872433"/>
        <s v="2828562297227264093"/>
        <s v="2828601272109056924"/>
        <s v="2828783280950272704"/>
        <s v="2828966520883200213"/>
        <s v="2829012774193152875"/>
        <s v="2829037989579776058"/>
        <s v="2829110592146432428"/>
        <s v="2829133912803328201"/>
        <s v="2829172322061312175"/>
        <s v="2829213304720384410"/>
        <s v="2829225752774656876"/>
        <s v="2829248268160000400"/>
        <s v="2830072773183488165"/>
        <s v="2830334292986881037"/>
        <s v="2830372774463488704"/>
        <s v="2830402308197376500"/>
        <s v="2830413722290176596"/>
        <s v="2830448589507584866"/>
        <s v="2830497822951424511"/>
        <s v="2830651413268480270"/>
        <s v="2831407769078784784"/>
        <s v="2831442280221696961"/>
        <s v="2831443805359104835"/>
        <s v="2831513684707328625"/>
        <s v="2831741055371264912"/>
        <s v="2831763821775872955"/>
        <s v="2831817315289088235"/>
        <s v="2831824702097409984"/>
        <s v="2831855786002432589"/>
        <s v="2831861296220160055"/>
        <s v="2831874756463616744"/>
        <s v="2831881051311104056"/>
        <s v="2832056555816960254"/>
        <s v="2832819003902976469"/>
        <s v="2832922563316736389"/>
        <s v="2832986258820096522"/>
        <s v="2833063555664896349"/>
        <s v="2833072936798208023"/>
        <s v="2833081450073088509"/>
        <s v="2833161597634561999"/>
        <s v="2833202404886528389"/>
        <s v="2833221264182272379"/>
        <s v="2833228628052992537"/>
        <s v="2833388619107328455"/>
        <s v="2833393003415552025"/>
        <s v="2834250188934144352"/>
        <s v="2834365611707392157"/>
        <s v="2834390967846912510"/>
        <s v="2834507604854784899"/>
        <s v="2834596583852032037"/>
        <s v="2834601395324928445"/>
        <s v="2834633905948672558"/>
        <s v="2834660898113536400"/>
        <s v="2834798272071680790"/>
        <s v="2834823444057088875"/>
        <s v="2834845699000320609"/>
        <s v="2834861797787648433"/>
        <s v="2834879226497024617"/>
        <s v="2835764619693056509"/>
        <s v="2835800135633920367"/>
        <s v="2835997500196864540"/>
        <s v="2836033254148100162"/>
        <s v="2836055826549760917"/>
        <s v="2836101996562432990"/>
        <s v="2836118974793728815"/>
        <s v="2836122314607616623"/>
        <s v="2836169888762880428"/>
        <s v="2836229891181568738"/>
        <s v="2836278499084288895"/>
        <s v="2836282089229312945"/>
        <s v="2837139285133313068"/>
        <s v="2837280191137792004"/>
        <s v="2837408033557504525"/>
        <s v="2837399872686080538"/>
        <s v="2837552741369856497"/>
        <s v="2837553944135680646"/>
        <s v="2837609039825920586"/>
        <s v="2837632624527360987"/>
        <s v="2837661359671296209"/>
        <s v="2837671703727104921"/>
        <s v="2837675483778048530"/>
        <s v="2837707442883584983"/>
        <s v="2837723267811328499"/>
        <s v="2837724057127936617"/>
        <s v="2838775048621056101"/>
        <s v="2838947889449984397"/>
        <s v="2839063612639232114"/>
        <s v="2839114546006016502"/>
        <s v="2839148246714368425"/>
        <s v="2840001233423360553"/>
        <s v="2840019393104896605"/>
        <s v="2840078541244416039"/>
        <s v="2840095178098688875"/>
        <s v="2840211492277248130"/>
        <s v="2840286741219328626"/>
        <s v="2840319554537472688"/>
        <s v="2840343760686080332"/>
        <s v="2840350619469824391"/>
        <s v="2840365116558336316"/>
        <s v="2840521906539520175"/>
        <s v="2841417064024064389"/>
        <s v="2841465118197760928"/>
        <s v="2841477674354688149"/>
        <s v="2841493891353600220"/>
        <s v="2841716079970304389"/>
        <s v="2841857921353728617"/>
        <s v="2841892591060992370"/>
        <s v="2841896961100800157"/>
        <s v="2841919247403008507"/>
        <s v="2841987042577408626"/>
        <s v="2844138155052032928"/>
        <s v="2844192689195008389"/>
        <s v="2844198656034816520"/>
        <s v="2844226037877760708"/>
        <s v="2844328903052288881"/>
        <s v="2844386772862976160"/>
        <s v="2844397718128640233"/>
        <s v="2844390300846080944"/>
        <s v="2844477475933184517"/>
        <s v="2845610044247040928"/>
        <s v="2845653457029120165"/>
        <s v="2845691754252288035"/>
        <s v="2845704408337408708"/>
        <s v="2845710871153664617"/>
        <s v="2845781311939584501"/>
        <s v="2845789259751936035"/>
        <s v="2845808862356481213"/>
        <s v="2845996744320000830"/>
        <s v="2846108556256256901"/>
        <s v="2846129764344321055"/>
        <s v="2846131343336448428"/>
        <s v="2846154709033472119"/>
        <s v="2846197034853376174"/>
        <s v="2846218673251328488"/>
        <s v="2846246469394944201"/>
        <s v="2847367275963392189"/>
        <s v="2847404576580096332"/>
        <s v="2847413604753920523"/>
        <s v="2847423394390528247"/>
        <s v="2847437290562048933"/>
        <s v="2847429832582144610"/>
        <s v="2847446572278272070"/>
        <s v="2847483710219264371"/>
        <s v="2847495132111360283"/>
        <s v="2847483886428672305"/>
        <s v="2847550678753792048"/>
        <s v="2847554712822784428"/>
        <s v="2847566111924736175"/>
        <s v="2847612770624512192"/>
        <s v="2847616802825216250"/>
        <s v="2847634028471297939"/>
        <s v="2847626294551040477"/>
        <s v="2848452388332032605"/>
        <s v="2848528919684096776"/>
        <s v="2848617002033664382"/>
        <s v="2848617869632000695"/>
        <s v="2848639415656960023"/>
        <s v="2848721863599104766"/>
        <s v="2848719666177024517"/>
        <s v="2848774007448576846"/>
        <s v="2848824081359872459"/>
        <s v="2848834692604416370"/>
        <s v="2848852317397504786"/>
        <s v="2848836664435712219"/>
        <s v="2848867372114432035"/>
        <s v="2848849298695168589"/>
        <s v="2848889706324480016"/>
        <s v="2848918477087232280"/>
        <s v="2849014411878912617"/>
        <s v="2849031560323584536"/>
        <s v="2849039881593856433"/>
        <s v="2849051660591616496"/>
        <s v="2849071430231040610"/>
        <s v="2849078083494400907"/>
        <s v="2850012877120000389"/>
        <s v="2850035281322496462"/>
        <s v="2850229384716800499"/>
        <s v="2850331004101120453"/>
        <s v="2850360749531648667"/>
        <s v="2850415733646336163"/>
        <s v="2850463330918912991"/>
        <s v="2851384184808448875"/>
        <s v="2851604360192512837"/>
        <s v="2851740318900736223"/>
        <s v="2851787246887424556"/>
        <s v="2851824232276480617"/>
        <s v="2851863704282112535"/>
        <s v="2851884993242112192"/>
        <s v="2851865300673024581"/>
        <s v="2852640059253248248"/>
        <s v="2852682240500224222"/>
        <s v="2852698835395584961"/>
        <s v="2852745092620800637"/>
        <s v="2852748812706304389"/>
        <s v="2852795179540992914"/>
        <s v="2852845952214016349"/>
        <s v="2852871255794176605"/>
        <s v="2852924373607424500"/>
        <s v="2852979038118400336"/>
        <s v="2853008471761408557"/>
        <s v="2853052557664768389"/>
        <s v="2853055840313856391"/>
        <s v="2853171640984576610"/>
        <s v="2853173594284544589"/>
        <s v="2853199864390656851"/>
        <s v="2853283275793408339"/>
        <s v="2854109860635648177"/>
        <s v="2854149072675328470"/>
        <s v="2854208105030656373"/>
        <s v="2854354761802752601"/>
        <s v="2854369950131200379"/>
        <s v="2854681776022016175"/>
        <s v="2854712388903424039"/>
        <s v="2855470571921920169"/>
        <s v="2855523965182976790"/>
        <s v="2855535880774144349"/>
        <s v="2855571905815552714"/>
        <s v="2855573680858112617"/>
        <s v="2855617451958784635"/>
        <s v="2855722244334592283"/>
        <s v="2855777700815360293"/>
        <s v="2855816657232896558"/>
        <s v="2855869581222400575"/>
        <s v="2855888258638336107"/>
        <s v="2855915278197760725"/>
        <s v="2855933525304320366"/>
        <s v="2855941799174656174"/>
        <s v="2855994555867648232"/>
        <s v="2856004357480960887"/>
        <s v="2856009937560064808"/>
        <s v="2856032891806720511"/>
        <s v="2856057612395008002"/>
        <s v="2856077193159168653"/>
        <s v="2856080684229632581"/>
        <s v="2856117186749440812"/>
        <s v="2856122304406528074"/>
        <s v="2856136132944896435"/>
        <s v="2856881714340864808"/>
        <s v="2857034725024256453"/>
        <s v="2857412585087488617"/>
        <s v="2857436388221440224"/>
        <s v="2857443108545536536"/>
        <s v="2857471713010688973"/>
        <s v="2857493277762048057"/>
        <s v="2857555027518464880"/>
        <s v="2857574611182592404"/>
        <s v="2858842565091840713"/>
        <s v="2858853200732674274"/>
        <s v="2858871337869824513"/>
        <s v="2858942741684736391"/>
        <s v="2858953839207424893"/>
        <s v="2859731725034496926"/>
        <s v="2859743322513920708"/>
        <s v="2859789200466432961"/>
        <s v="2859853662380544714"/>
        <s v="2859944029774848462"/>
        <s v="2860084764287488425"/>
        <s v="2860098115363840138"/>
        <s v="2860117643568128556"/>
        <s v="2860158243382272332"/>
        <s v="2860209423589888965"/>
        <s v="2860224614163456349"/>
        <s v="2860278587351552900"/>
        <s v="2860304643777536520"/>
        <s v="2860325771321856911"/>
        <s v="2860335288968192536"/>
        <s v="2860341422121985377"/>
        <s v="2860370081735680103"/>
        <s v="2860381359498240535"/>
        <s v="2861311722283520617"/>
        <s v="2861314138104320545"/>
        <s v="2861385351816192760"/>
        <s v="2861407922873344881"/>
        <s v="2861561343156736520"/>
        <s v="2861688976532480851"/>
        <s v="2862621576881152571"/>
        <s v="2862893786031104581"/>
        <s v="2862903605535744156"/>
        <s v="2862903838467072037"/>
        <s v="2862928182944256516"/>
        <s v="2862982158098944557"/>
        <s v="2863041669227521583"/>
        <s v="2863104279798272055"/>
        <s v="2863232180380672027"/>
        <s v="2864021204476416928"/>
        <s v="2864067783483904352"/>
        <s v="2864090056598528978"/>
        <s v="2864152048411136139"/>
        <s v="2864232526127616573"/>
        <s v="2864358413935616557"/>
        <s v="2864370583299072072"/>
        <s v="2864373701616640232"/>
        <s v="2864524861956608791"/>
        <s v="2864573698908672784"/>
        <s v="2864580242727936612"/>
        <s v="2864583802642944617"/>
        <s v="2864619955773952998"/>
        <s v="2864639462745088111"/>
        <s v="2865428401185280023"/>
        <s v="2865450120339968371"/>
        <s v="2865537918034944617"/>
        <s v="2865569074782720961"/>
        <s v="2865739069956608935"/>
        <s v="2865794747753472336"/>
        <s v="2865806830887936538"/>
        <s v="2865883343250432352"/>
        <s v="2865973387158528783"/>
        <s v="2865996233204224802"/>
        <s v="2865996875981312467"/>
        <s v="2866021578727936428"/>
        <s v="2866028142208000442"/>
        <s v="2866029924196864244"/>
        <s v="2866038779535872857"/>
        <s v="2866861420864000217"/>
        <s v="2866868273882112995"/>
        <s v="2866910923203584566"/>
        <s v="2867387779293696617"/>
        <s v="2867446118834688965"/>
        <s v="2868209886601728721"/>
        <s v="2868293788328448349"/>
        <s v="2868344986968576737"/>
        <s v="2868465330365440695"/>
        <s v="2868582515876864060"/>
        <s v="2868627905422336643"/>
        <s v="2868636485395456156"/>
        <s v="2868725048091136361"/>
        <s v="2868726684819968482"/>
        <s v="2868729354167296565"/>
        <n v="2.86874E18"/>
        <s v="2868745298502144253"/>
        <s v="2868782135992832617"/>
        <s v="2868808276141056974"/>
        <s v="2868840082760704573"/>
        <s v="2868883701670400201"/>
        <s v="2868894586479104731"/>
        <s v="2869629855900160058"/>
        <s v="2869652380967424209"/>
        <s v="2869664106734592063"/>
        <s v="2869699804423169795"/>
        <s v="2869784790148096479"/>
        <s v="2870017985651200213"/>
        <s v="2870100437164544240"/>
        <s v="2870127151374848211"/>
        <s v="2870133447418368617"/>
        <s v="2870193844183552428"/>
        <s v="2870237958087168157"/>
        <s v="2871114660176896617"/>
        <s v="2871147183727104462"/>
        <s v="2871154497970688210"/>
        <s v="2871204512998400619"/>
        <s v="2871291859657728177"/>
        <s v="2871494978954240349"/>
        <s v="2871500336374785648"/>
        <s v="2871521753260544753"/>
        <s v="2871662476977152433"/>
        <s v="2872478945862144639"/>
        <s v="2872481795547648235"/>
        <s v="2872533518197248440"/>
        <s v="2872588162753024575"/>
        <s v="2872601222914560960"/>
        <s v="2872628462658048708"/>
        <s v="2872630007030784605"/>
        <s v="2872656627294720806"/>
        <s v="2872860550210048786"/>
        <s v="2872891948999168591"/>
        <s v="2872907062632960131"/>
        <s v="2872909861495297965"/>
        <s v="2872925491536896023"/>
        <s v="2872976009683968332"/>
        <s v="2873046640370176538"/>
        <s v="2873059187762176847"/>
        <s v="2873091775472640522"/>
        <s v="2873096012816896629"/>
        <s v="2873975004357120690"/>
        <s v="2874301292962816133"/>
        <s v="2874358332908544462"/>
        <s v="2874369215833088875"/>
        <s v="2874375752704512514"/>
        <s v="2874505949897728551"/>
        <s v="2874562879496704827"/>
        <s v="2875280187466240899"/>
        <s v="2875311497618432029"/>
        <s v="2875565246637056814"/>
        <s v="2875727386977280138"/>
        <s v="2875741430637568925"/>
        <s v="2875750560096768279"/>
        <s v="2875781487337984023"/>
        <s v="2875800230535680034"/>
        <s v="2875819703919616617"/>
        <s v="2875846831596544045"/>
        <s v="2875926780764672781"/>
        <s v="2876781210560000367"/>
        <s v="2876913308328960340"/>
        <s v="2876984459355136520"/>
        <s v="2877020552259072295"/>
        <s v="2877037821224448166"/>
        <s v="2877069183903233253"/>
        <s v="2877093198865920835"/>
        <s v="2877157743141888037"/>
        <s v="2877307669128704508"/>
        <s v="2877308886771200581"/>
        <s v="2877350609986560685"/>
        <s v="2877386477823488377"/>
        <s v="2878120476567040138"/>
        <s v="2878134209734144957"/>
        <s v="2878169865954816730"/>
        <s v="2878407135421440294"/>
        <s v="2878639599117312660"/>
        <s v="2878674964734976846"/>
        <s v="2878771769632256087"/>
        <s v="2879542914491904349"/>
        <s v="2879550795572224864"/>
        <s v="2879569165542912352"/>
        <s v="2879594609567232960"/>
        <s v="2879712537240576165"/>
        <s v="2879771243341312305"/>
        <s v="2879775943910912914"/>
        <s v="2879809901782528712"/>
        <s v="2879920146163200784"/>
        <s v="2879932446090240708"/>
        <s v="2879996378998272096"/>
        <s v="2880032593650688937"/>
        <s v="2880099330614784914"/>
        <s v="2880103484498944838"/>
        <s v="2880106725205504924"/>
        <s v="2880130692899840353"/>
        <s v="2880148924867584428"/>
        <s v="2880180493296640295"/>
        <s v="2880203359314944599"/>
        <s v="2880219514381312629"/>
        <s v="2880970325435392271"/>
        <s v="2881122928371201910"/>
        <s v="2881159977640960563"/>
        <s v="2881161628034560821"/>
        <s v="2881177346811392397"/>
        <s v="2881226885408256520"/>
        <s v="2881314769593344101"/>
        <s v="2881317988509184301"/>
        <s v="2881367809893376251"/>
        <s v="2881415619961856593"/>
        <s v="2881424772965376305"/>
        <s v="2881432867677184337"/>
        <s v="2881456852395520366"/>
        <s v="2881543459202560306"/>
        <s v="2881569672094720175"/>
        <s v="2881595783390720345"/>
        <s v="2881609043174400212"/>
        <s v="2882364125438976761"/>
        <s v="2882365931136000337"/>
        <s v="2882373663581184284"/>
        <s v="2882391480624642764"/>
        <s v="2882446005576704937"/>
        <s v="2882497941382144784"/>
        <s v="2882724259489280244"/>
        <s v="2882765291873792138"/>
        <s v="2882817357030913337"/>
        <s v="2882817837163520708"/>
        <s v="2884176710263808695"/>
        <s v="2884239744738304447"/>
        <s v="2884400861357568617"/>
        <s v="2884414804829184298"/>
        <s v="2885240480589312671"/>
        <s v="2885289353733632455"/>
        <s v="2885371768923136377"/>
        <s v="2885421128312321337"/>
        <s v="2885563658216960581"/>
        <s v="2885666742330880997"/>
        <s v="2885752915158016212"/>
        <s v="2885777288438784800"/>
        <s v="2886654185367040337"/>
        <s v="2886740739023872116"/>
        <s v="2886844868961280226"/>
        <s v="2887106711595520440"/>
        <s v="2887124542237184843"/>
        <s v="2887129765702656685"/>
        <s v="2887146712754688463"/>
        <s v="2887247287069696447"/>
        <s v="2888346536963072694"/>
        <s v="2888377197014016337"/>
        <s v="2888475801807360708"/>
        <s v="2888522692029440960"/>
        <s v="2888561980091392428"/>
        <s v="2888597286874112840"/>
        <s v="2888636294720512736"/>
        <s v="2888657698777600685"/>
        <s v="2888697954380800217"/>
        <s v="2889445362919936593"/>
        <s v="2889453550512640507"/>
        <s v="2889485025668096985"/>
        <s v="2889495533448192910"/>
        <s v="2889545566891008489"/>
        <s v="2889545832066048669"/>
        <s v="2889566805748736961"/>
        <s v="2889613025733632310"/>
        <s v="2889648246778880283"/>
        <s v="2889653749639680781"/>
        <s v="2889711819992064528"/>
        <s v="2889821184388096990"/>
        <s v="2889986187029504925"/>
        <s v="2889986249730560157"/>
        <s v="2890074809854464203"/>
        <s v="2890086691875840415"/>
        <s v="2890892286946304186"/>
        <s v="2890918058666496952"/>
        <s v="2890949747370496914"/>
        <s v="2890953620073472455"/>
        <s v="2890985565547520177"/>
        <s v="2891032071252480812"/>
        <s v="2891053686205440337"/>
        <s v="2891075144625152737"/>
        <s v="2891112024828416468"/>
        <s v="2891114051824640118"/>
        <s v="2891187439954432019"/>
        <s v="2891188505782784103"/>
        <s v="2891197339707904194"/>
        <s v="2891344560974848444"/>
        <s v="2891368881596928611"/>
        <s v="2891383356697600847"/>
        <s v="2891387670669824035"/>
        <s v="2891409629670400910"/>
        <s v="2891460284721664611"/>
        <s v="2891471233542656209"/>
        <s v="2891479829391872911"/>
        <s v="2891498850610176625"/>
        <s v="2891499486505984806"/>
        <s v="2892282450405888689"/>
        <s v="2892322439244800246"/>
        <s v="2892332812216832764"/>
        <s v="2892373632920064177"/>
        <s v="2892405129914880705"/>
        <s v="2892550079228416342"/>
        <s v="2892586061900288337"/>
        <s v="2892793614510592121"/>
        <s v="2892822778604032883"/>
        <s v="2892874094193664617"/>
        <s v="2892878914398720685"/>
        <s v="2892904016473088403"/>
        <s v="2892949168712704339"/>
        <s v="2894028720090112565"/>
        <s v="2894080999762432997"/>
        <s v="2894164192472064871"/>
        <s v="2894260696837120924"/>
        <s v="2894289416661504538"/>
        <s v="2894337140370432332"/>
        <s v="2894363992157184079"/>
        <s v="2895171689572864337"/>
        <s v="2895412296985600508"/>
        <s v="2895451694935040377"/>
        <s v="2895468370848256462"/>
        <s v="2895532160920064503"/>
        <s v="2895570056210944337"/>
        <s v="2895610356034048652"/>
        <s v="2895615746485248694"/>
        <s v="2895650720427008048"/>
        <s v="2895735519685632820"/>
        <s v="2895748576865280754"/>
        <s v="2895756558232064148"/>
        <s v="2896526196943872966"/>
        <s v="2896537619983360355"/>
        <s v="2896603789110272148"/>
        <s v="2896730421570560586"/>
        <s v="2896740449086464862"/>
        <s v="2896755000404992071"/>
        <s v="2896942352395264412"/>
        <s v="2896996235241984617"/>
        <s v="2897030665923584379"/>
        <s v="2897081959983616624"/>
        <s v="2897104951028224332"/>
        <s v="2897123565775360869"/>
        <s v="2897167263967744920"/>
        <s v="2897188852230656889"/>
        <s v="2897203033435136428"/>
        <s v="2897958208154624679"/>
        <s v="2897972871047680433"/>
        <s v="2898042792536576557"/>
        <s v="2898068073786368323"/>
        <s v="2898125898181632169"/>
        <s v="2898135750847488121"/>
        <s v="2898177265543680888"/>
        <s v="2898183603038720939"/>
        <s v="2898210548361728802"/>
        <s v="2898220842757120165"/>
        <s v="2898274051680768297"/>
        <s v="2898344663968768481"/>
        <s v="2898347551157248098"/>
        <s v="2898425192147968567"/>
        <s v="2898427796155392044"/>
        <s v="2898532847217664973"/>
        <s v="2898552553662976460"/>
        <s v="2898571350993920113"/>
        <s v="2898587449453056483"/>
        <s v="2899351659244544532"/>
        <s v="2899368445716992871"/>
        <s v="2899430460288000165"/>
        <s v="2899549680019968611"/>
        <s v="2899702391728640138"/>
        <s v="2899767792266240556"/>
        <s v="2899849676303360817"/>
        <s v="2899906658806272463"/>
        <s v="2899908700777472609"/>
        <s v="2899918919396352256"/>
        <s v="2899932812487680453"/>
        <s v="2899998493157888186"/>
        <s v="2899999790803456499"/>
        <s v="2900023900466176115"/>
        <s v="2900959700380672411"/>
        <s v="2901039762745856623"/>
        <s v="2901114112961536389"/>
        <s v="2901206285330944391"/>
        <s v="2901224010525696708"/>
        <s v="2901266803764224900"/>
        <s v="2901314522917376436"/>
        <s v="2901317529152512919"/>
        <s v="2901337373207040428"/>
        <s v="2901398046042624376"/>
        <s v="2901425709919232880"/>
        <s v="2902214821653504716"/>
        <s v="2902240181414400160"/>
        <s v="2902535308175872189"/>
        <s v="2902713681881600846"/>
        <s v="2902730534447616202"/>
        <s v="2902739359459840868"/>
        <s v="2902750085295104880"/>
        <s v="2902769328351744611"/>
        <s v="2902842461186560609"/>
        <s v="2902847785773568074"/>
        <s v="2903804666702336072"/>
        <s v="2903841395190272462"/>
        <s v="2903868253678592337"/>
        <s v="2903885700033024433"/>
        <s v="2904107258554880518"/>
        <s v="2904163438160384231"/>
        <s v="2904198009776640704"/>
        <s v="2904238348971008994"/>
        <s v="2905184883092480617"/>
        <s v="2905253360364032601"/>
        <s v="2906648083344384503"/>
        <s v="2906654541130240875"/>
        <s v="2906752437250560274"/>
        <s v="2906832746490880389"/>
        <s v="2906979865242112420"/>
        <s v="2907027329281024942"/>
        <s v="2907067744922624484"/>
        <s v="2907842605885952287"/>
        <s v="2907887496407552453"/>
        <s v="2907986311375360908"/>
        <s v="2908027927489024008"/>
        <s v="2908162033494528552"/>
        <s v="2908337362168832494"/>
        <s v="2908510925925376942"/>
        <s v="2909546907970048709"/>
        <s v="2909633008315392581"/>
        <s v="2909663624292864487"/>
        <s v="2909677426371584268"/>
        <s v="2909728405416448332"/>
        <s v="2909740288224256679"/>
        <s v="2909787259939328942"/>
        <s v="2909825981459456852"/>
        <s v="2909851777657856910"/>
        <s v="2909854201818112118"/>
        <s v="2910667058293248942"/>
        <s v="2910769016269824177"/>
        <s v="2910775343737344209"/>
        <s v="2910814550518784617"/>
        <s v="2911050531122176990"/>
        <s v="2911075492310016337"/>
        <s v="2911110935063552256"/>
        <s v="2911121113312256332"/>
        <s v="2911141931133952679"/>
        <s v="2911147755301888856"/>
        <s v="2911150985096192627"/>
        <s v="2911290829794304812"/>
        <s v="2912147724610048340"/>
        <s v="2912200310893568397"/>
        <s v="2912229452114944750"/>
        <s v="2912306676739072056"/>
        <s v="2912508552195072708"/>
        <s v="2912521027152896566"/>
        <s v="2912618865043968592"/>
        <s v="2912709852113920274"/>
        <s v="2912725800921600554"/>
        <s v="2912728097843712030"/>
        <s v="2912730763553792969"/>
        <s v="2912755586083840169"/>
        <s v="2912760001538560992"/>
        <s v="2912781266906112403"/>
        <s v="2913557441981440337"/>
        <s v="2913767463070720835"/>
        <s v="2913767630973440224"/>
        <s v="2913955509709824448"/>
        <s v="2914046905920512370"/>
        <s v="2914108988254720942"/>
        <s v="2914117678639616914"/>
        <s v="2914141977029632643"/>
        <s v="2914184959961600345"/>
        <s v="2915168944646656910"/>
        <s v="2915188919511552218"/>
        <s v="2915308104739840448"/>
        <s v="2915318076255232942"/>
        <s v="2915367848241664743"/>
        <s v="2915401151687168610"/>
        <s v="2915404317535232202"/>
        <s v="2915435163200513112"/>
        <s v="2915445273471488332"/>
        <s v="2915505418004992617"/>
        <s v="2915544198015488288"/>
        <s v="2915550700120576935"/>
        <s v="2916348299864576187"/>
        <s v="2916369030835204605"/>
        <s v="2916695269059072520"/>
        <s v="2916735190707200177"/>
        <s v="2916825687665664337"/>
        <s v="2916906927827968696"/>
        <s v="2916919010503168749"/>
        <s v="2916937715002368867"/>
        <s v="2916942758456320484"/>
        <s v="2916967251422208942"/>
        <s v="2917028005325824641"/>
        <s v="2917747143797760992"/>
        <s v="2917820298161152177"/>
        <s v="2917909387667968538"/>
        <s v="2918017309370880838"/>
        <s v="2918063110482432224"/>
        <s v="2918219392068096942"/>
        <s v="2918242288658944025"/>
        <s v="2918356619651584843"/>
        <s v="2918392120994816679"/>
        <s v="2918395811048448200"/>
        <s v="2919191397395456348"/>
        <s v="2919229468978177942"/>
        <s v="2919245058894336617"/>
        <s v="2919280801016320566"/>
        <s v="2920690348321792556"/>
        <s v="2920915721759232835"/>
        <s v="2920934847835136753"/>
        <s v="2921000408033792760"/>
        <s v="2921004014643712760"/>
        <s v="2921027564218880566"/>
        <s v="2921068980775936789"/>
        <s v="2921070154296320968"/>
        <s v="2921125275232768019"/>
        <s v="2921181262637568329"/>
        <s v="2921200217451520667"/>
        <s v="2921244183882240867"/>
        <s v="2921253314161664209"/>
        <s v="2921269734910464613"/>
        <s v="2921275474389504736"/>
        <s v="2922153964382720337"/>
        <s v="2922277840612352610"/>
        <s v="2922359436470784835"/>
        <s v="2922365825756160873"/>
        <s v="2922585674460160635"/>
        <s v="2922631645817856101"/>
        <s v="2922635289242112772"/>
        <s v="2922684225088000281"/>
        <s v="2923467372243968337"/>
        <s v="2923511728368128647"/>
        <s v="2923527105292800177"/>
        <s v="2923568986139136428"/>
        <s v="2923729664518656274"/>
        <s v="2923741649316864119"/>
        <s v="2923753368087040553"/>
        <s v="2923764893461504317"/>
        <s v="2923846318582272034"/>
        <s v="2923875399313920078"/>
        <s v="2923896624786432301"/>
        <s v="2923946210421760026"/>
        <s v="2923984495782400779"/>
        <s v="2924007004761088113"/>
        <s v="2924037466581504345"/>
        <s v="2924052722887680079"/>
        <s v="2924080682019840145"/>
        <s v="2925011092220416733"/>
        <s v="2925100670396928702"/>
        <s v="2925144332381184750"/>
        <s v="2925161776212992764"/>
        <s v="2925216435874304459"/>
        <s v="2925233090292736423"/>
        <s v="2925246406142464679"/>
        <s v="2925249952672768750"/>
        <s v="2925268415474688056"/>
        <s v="2925273279441920332"/>
        <s v="2925287320840704565"/>
        <s v="2925307303832064694"/>
        <s v="2925391419927552463"/>
        <s v="2925469524879872007"/>
        <s v="2925473156361216772"/>
        <s v="2925487918607360253"/>
        <s v="2925526850808832373"/>
        <s v="2926306129275904702"/>
        <s v="2926608111151616729"/>
        <s v="2926696708991488410"/>
        <s v="2926701210282496658"/>
        <s v="2926728733633536391"/>
        <s v="2926755752815616306"/>
        <s v="2926763894532608436"/>
        <s v="2926773720852992286"/>
        <s v="2926827058457600733"/>
        <s v="2926854267644416798"/>
        <s v="2926898314275840433"/>
        <s v="2926901698554880972"/>
        <s v="2927670996740608472"/>
        <s v="2927716211141633161"/>
        <s v="2927726868277760056"/>
        <s v="2927808900869120019"/>
        <s v="2927870947306496610"/>
        <s v="2927942377515520436"/>
        <s v="2928213444143616384"/>
        <s v="2928226875108352453"/>
        <s v="2928241728629248229"/>
        <s v="2928246964103680942"/>
        <s v="2928248552778752752"/>
        <s v="2928256759310848129"/>
        <s v="2928277748984832319"/>
        <s v="2928330585074688281"/>
        <s v="2928334486727680531"/>
        <s v="2929091796446208390"/>
        <s v="2929153190341120430"/>
        <s v="2929200665078272617"/>
        <s v="2929240864746496911"/>
        <s v="2929394447247872760"/>
        <s v="2929495474318336245"/>
        <s v="2929506894703616227"/>
        <s v="2929592772062208856"/>
        <s v="2929604512524800608"/>
        <s v="2929607653583872531"/>
        <s v="2929677342796288976"/>
        <s v="2929693050317824465"/>
        <s v="2929714983431168433"/>
        <s v="2929752160414208942"/>
        <s v="2930905686551552177"/>
        <s v="2931103918434816974"/>
        <s v="2931132037426176574"/>
        <s v="2931137269623296438"/>
        <s v="2931161117731328424"/>
        <s v="2931186650754048704"/>
        <s v="2932425145444864137"/>
        <s v="2932436962929664484"/>
        <s v="2932456613358592942"/>
        <s v="2932496679824384779"/>
        <s v="2932508813241344150"/>
        <s v="2932515391269376229"/>
        <s v="2932521944214528725"/>
        <s v="2932538469100032637"/>
        <s v="2932549492238848950"/>
        <s v="2932564742974464471"/>
        <s v="2933331368946176725"/>
        <s v="2933367837420032337"/>
        <s v="2933370134621184247"/>
        <s v="2933459693316608286"/>
        <s v="2933501823248896857"/>
        <s v="2933559805127680003"/>
        <s v="2933601987045888563"/>
        <s v="2933609347132416630"/>
        <s v="2933610562742784720"/>
        <s v="2933631410907648201"/>
        <s v="2933645595781632069"/>
        <s v="2933681638730752966"/>
        <s v="2933718409522176523"/>
        <s v="2933820714150400942"/>
        <s v="2933840309529088182"/>
        <s v="2933842231225344532"/>
        <s v="2933860953860608759"/>
        <s v="2933944249461760301"/>
        <s v="2933948735630336496"/>
        <s v="2933955483560448670"/>
        <s v="2933960110812160663"/>
        <s v="2933988620299264433"/>
        <s v="2934775719046144605"/>
        <s v="2934806812797952468"/>
        <s v="2934862823730176428"/>
        <s v="2934890755042304177"/>
        <s v="2934926204086784340"/>
        <s v="2934939551377920531"/>
        <s v="2934972165990912955"/>
        <s v="2935019099744768752"/>
        <s v="2935039525727232702"/>
        <s v="2935046553594368453"/>
        <s v="2935079698672128245"/>
        <s v="2935197532826624181"/>
        <s v="2935244580580352137"/>
        <s v="2935291562322944383"/>
        <s v="2935358519782400942"/>
        <s v="2935371079477760520"/>
        <s v="2935373536684544262"/>
        <s v="2935394019961856099"/>
        <s v="2935413176101888531"/>
        <s v="2936152071514624842"/>
        <s v="2936171896744448484"/>
        <s v="2936283741662208468"/>
        <s v="2936388507871744136"/>
        <s v="2936480533899776882"/>
        <s v="2936618856704512562"/>
        <s v="2936648086695424188"/>
        <s v="2936657769868800700"/>
        <s v="2936716485323264113"/>
        <s v="2936722959673856779"/>
        <s v="2936725105125888551"/>
        <s v="2936817355664896942"/>
        <s v="2936822872206848232"/>
        <s v="2937762234035712802"/>
        <s v="2937799970073088033"/>
        <s v="2937843003977216373"/>
        <s v="2938015063632384759"/>
        <s v="2938043989109248610"/>
        <s v="2938053441317376192"/>
        <s v="2938228736634368729"/>
        <s v="2939059247720960404"/>
        <s v="2939200182038016036"/>
        <s v="2939249647578624958"/>
        <s v="2939392665315840337"/>
        <s v="2939412148579840339"/>
        <s v="2939512775797248608"/>
        <s v="2939521857006080846"/>
        <s v="2940475391945216705"/>
        <s v="2940504167246336089"/>
        <s v="2940553444224512177"/>
        <s v="2940556712667648028"/>
        <s v="2940558212247040942"/>
        <s v="2940590737254912663"/>
        <s v="2940788544875008339"/>
        <s v="2940835771394560389"/>
        <s v="2940854393859584310"/>
        <s v="2940859934600704308"/>
        <s v="2940963545116160100"/>
        <s v="2940977072564736529"/>
        <s v="2940986345974272336"/>
        <s v="2940989820841472360"/>
        <s v="2941008949586432982"/>
        <s v="2941012192718336877"/>
        <s v="2941050324659712036"/>
        <s v="2941064173415936996"/>
        <m/>
      </sharedItems>
    </cacheField>
    <cacheField name="store_id" numFmtId="0">
      <sharedItems containsBlank="1">
        <s v="ST_001"/>
        <m/>
      </sharedItems>
    </cacheField>
    <cacheField name="order_datetime" numFmtId="164">
      <sharedItems containsDate="1" containsString="0" containsBlank="1">
        <d v="2025-11-01T11:53:51Z"/>
        <d v="2025-11-01T12:56:29Z"/>
        <d v="2025-11-01T14:46:08Z"/>
        <d v="2025-11-01T18:05:46Z"/>
        <d v="2025-11-01T18:28:54Z"/>
        <d v="2025-11-01T19:10:59Z"/>
        <d v="2025-11-01T19:52:43Z"/>
        <d v="2025-11-01T20:43:28Z"/>
        <d v="2025-11-01T20:50:07Z"/>
        <d v="2025-11-01T21:50:59Z"/>
        <d v="2025-11-01T22:09:31Z"/>
        <d v="2025-11-02T11:46:32Z"/>
        <d v="2025-11-02T11:56:54Z"/>
        <d v="2025-11-02T12:50:05Z"/>
        <d v="2025-11-02T14:06:07Z"/>
        <d v="2025-11-02T15:11:16Z"/>
        <d v="2025-11-02T15:59:35Z"/>
        <d v="2025-11-02T16:39:34Z"/>
        <d v="2025-11-02T18:10:23Z"/>
        <d v="2025-11-02T21:50:17Z"/>
        <d v="2025-11-02T21:53:59Z"/>
        <d v="2025-11-02T22:04:19Z"/>
        <d v="2025-11-02T22:52:26Z"/>
        <d v="2025-11-02T23:01:39Z"/>
        <d v="2025-11-02T23:13:41Z"/>
        <d v="2025-11-03T11:31:58Z"/>
        <d v="2025-11-03T13:18:02Z"/>
        <d v="2025-11-03T13:35:42Z"/>
        <d v="2025-11-03T14:17:52Z"/>
        <d v="2025-11-03T18:33:27Z"/>
        <d v="2025-11-03T18:42:20Z"/>
        <d v="2025-11-03T20:46:47Z"/>
        <d v="2025-11-03T21:51:41Z"/>
        <d v="2025-11-03T22:10:19Z"/>
        <d v="2025-11-03T22:42:22Z"/>
        <d v="2025-11-03T23:21:27Z"/>
        <d v="2025-11-04T11:38:18Z"/>
        <d v="2025-11-04T12:38:55Z"/>
        <d v="2025-11-04T13:51:23Z"/>
        <d v="2025-11-04T13:54:01Z"/>
        <d v="2025-11-04T18:51:20Z"/>
        <d v="2025-11-04T19:22:22Z"/>
        <d v="2025-11-04T20:17:10Z"/>
        <d v="2025-11-04T20:42:26Z"/>
        <d v="2025-11-04T20:51:43Z"/>
        <d v="2025-11-04T21:12:06Z"/>
        <d v="2025-11-04T22:37:37Z"/>
        <d v="2025-11-04T22:50:38Z"/>
        <d v="2025-11-05T11:41:20Z"/>
        <d v="2025-11-05T12:40:51Z"/>
        <d v="2025-11-05T12:46:43Z"/>
        <d v="2025-11-05T15:01:09Z"/>
        <d v="2025-11-05T15:01:52Z"/>
        <d v="2025-11-05T16:18:51Z"/>
        <d v="2025-11-05T16:42:14Z"/>
        <d v="2025-11-05T17:55:56Z"/>
        <d v="2025-11-05T18:26:07Z"/>
        <d v="2025-11-05T19:55:04Z"/>
        <d v="2025-11-05T20:24:39Z"/>
        <d v="2025-11-05T21:34:53Z"/>
        <d v="2025-11-05T21:40:19Z"/>
        <d v="2025-11-05T22:27:07Z"/>
        <d v="2025-11-05T22:53:58Z"/>
        <d v="2025-11-06T11:30:13Z"/>
        <d v="2025-11-06T13:39:55Z"/>
        <d v="2025-11-06T14:47:19Z"/>
        <d v="2025-11-06T15:14:14Z"/>
        <d v="2025-11-06T15:22:49Z"/>
        <d v="2025-11-06T17:56:08Z"/>
        <d v="2025-11-06T18:15:12Z"/>
        <d v="2025-11-06T19:21:35Z"/>
        <d v="2025-11-06T19:55:29Z"/>
        <d v="2025-11-06T20:21:03Z"/>
        <d v="2025-11-06T21:11:13Z"/>
        <d v="2025-11-06T21:32:49Z"/>
        <d v="2025-11-06T21:45:47Z"/>
        <d v="2025-11-07T11:44:37Z"/>
        <d v="2025-11-07T12:07:10Z"/>
        <d v="2025-11-07T12:16:14Z"/>
        <d v="2025-11-07T15:10:46Z"/>
        <d v="2025-11-07T16:21:34Z"/>
        <d v="2025-11-07T17:29:23Z"/>
        <d v="2025-11-07T18:50:13Z"/>
        <d v="2025-11-07T19:09:02Z"/>
        <d v="2025-11-07T20:25:56Z"/>
        <d v="2025-11-07T22:02:12Z"/>
        <d v="2025-11-07T22:13:24Z"/>
        <d v="2025-11-07T22:51:28Z"/>
        <d v="2025-11-08T13:54:46Z"/>
        <d v="2025-11-08T14:00:52Z"/>
        <d v="2025-11-08T19:31:38Z"/>
        <d v="2025-11-08T19:56:55Z"/>
        <d v="2025-11-08T20:08:02Z"/>
        <d v="2025-11-08T20:14:59Z"/>
        <d v="2025-11-08T20:48:22Z"/>
        <d v="2025-11-08T21:23:02Z"/>
        <d v="2025-11-08T21:47:20Z"/>
        <d v="2025-11-08T22:57:35Z"/>
        <d v="2025-11-09T11:29:21Z"/>
        <d v="2025-11-09T12:06:12Z"/>
        <d v="2025-11-09T12:23:27Z"/>
        <d v="2025-11-09T13:05:45Z"/>
        <d v="2025-11-09T13:47:24Z"/>
        <d v="2025-11-09T13:53:27Z"/>
        <d v="2025-11-09T14:26:56Z"/>
        <d v="2025-11-09T19:07:13Z"/>
        <d v="2025-11-09T20:30:53Z"/>
        <d v="2025-11-09T21:30:46Z"/>
        <d v="2025-11-09T21:56:58Z"/>
        <d v="2025-11-09T22:02:05Z"/>
        <d v="2025-11-09T22:40:54Z"/>
        <d v="2025-11-09T22:40:55Z"/>
        <d v="2025-11-09T23:02:33Z"/>
        <d v="2025-11-10T11:51:21Z"/>
        <d v="2025-11-10T12:14:50Z"/>
        <d v="2025-11-10T12:18:35Z"/>
        <d v="2025-11-10T13:20:15Z"/>
        <d v="2025-11-10T16:28:06Z"/>
        <d v="2025-11-10T18:01:46Z"/>
        <d v="2025-11-10T18:17:53Z"/>
        <d v="2025-11-10T20:27:34Z"/>
        <d v="2025-11-10T20:53:20Z"/>
        <d v="2025-11-10T20:57:25Z"/>
        <d v="2025-11-10T21:05:48Z"/>
        <d v="2025-11-10T21:06:32Z"/>
        <d v="2025-11-10T21:17:39Z"/>
        <d v="2025-11-10T21:19:51Z"/>
        <d v="2025-11-10T22:12:59Z"/>
        <d v="2025-11-10T22:25:51Z"/>
        <d v="2025-11-11T11:32:09Z"/>
        <d v="2025-11-11T12:29:40Z"/>
        <d v="2025-11-11T12:36:19Z"/>
        <d v="2025-11-11T12:40:15Z"/>
        <d v="2025-11-11T12:44:44Z"/>
        <d v="2025-11-11T13:45:01Z"/>
        <d v="2025-11-11T16:04:28Z"/>
        <d v="2025-11-11T19:09:48Z"/>
        <d v="2025-11-11T19:56:56Z"/>
        <d v="2025-11-11T20:25:19Z"/>
        <d v="2025-11-11T20:27:25Z"/>
        <d v="2025-11-11T20:32:04Z"/>
        <d v="2025-11-11T21:22:48Z"/>
        <d v="2025-11-11T21:49:00Z"/>
        <d v="2025-11-12T12:24:49Z"/>
        <d v="2025-11-12T12:48:53Z"/>
        <d v="2025-11-12T13:24:05Z"/>
        <d v="2025-11-12T17:09:28Z"/>
        <d v="2025-11-12T17:10:38Z"/>
        <d v="2025-11-12T19:02:44Z"/>
        <d v="2025-11-12T19:03:26Z"/>
        <d v="2025-11-12T19:04:55Z"/>
        <d v="2025-11-12T19:32:26Z"/>
        <d v="2025-11-12T20:00:58Z"/>
        <d v="2025-11-12T21:31:32Z"/>
        <d v="2025-11-12T23:03:06Z"/>
        <d v="2025-11-13T11:29:17Z"/>
        <d v="2025-11-13T12:40:28Z"/>
        <d v="2025-11-13T15:08:17Z"/>
        <d v="2025-11-13T18:11:56Z"/>
        <d v="2025-11-13T19:14:23Z"/>
        <d v="2025-11-13T19:20:42Z"/>
        <d v="2025-11-13T20:31:44Z"/>
        <d v="2025-11-13T21:01:26Z"/>
        <d v="2025-11-13T21:44:08Z"/>
        <d v="2025-11-13T22:20:32Z"/>
        <d v="2025-11-13T22:41:23Z"/>
        <d v="2025-11-13T22:57:12Z"/>
        <d v="2025-11-14T12:58:26Z"/>
        <d v="2025-11-14T17:24:09Z"/>
        <d v="2025-11-14T18:14:17Z"/>
        <d v="2025-11-14T18:45:29Z"/>
        <d v="2025-11-14T19:06:46Z"/>
        <d v="2025-11-14T19:22:57Z"/>
        <d v="2025-11-14T20:05:43Z"/>
        <d v="2025-11-14T22:48:27Z"/>
        <d v="2025-11-15T11:42:19Z"/>
        <d v="2025-11-15T12:11:25Z"/>
        <d v="2025-11-15T12:14:11Z"/>
        <d v="2025-11-15T13:21:09Z"/>
        <d v="2025-11-15T17:18:24Z"/>
        <d v="2025-11-15T17:49:01Z"/>
        <d v="2025-11-15T18:37:27Z"/>
        <d v="2025-11-15T18:46:59Z"/>
        <d v="2025-11-15T19:14:03Z"/>
        <d v="2025-11-15T19:19:57Z"/>
        <d v="2025-11-15T19:23:58Z"/>
        <d v="2025-11-15T19:34:08Z"/>
        <d v="2025-11-15T22:30:23Z"/>
        <d v="2025-11-16T11:35:27Z"/>
        <d v="2025-11-16T13:10:22Z"/>
        <d v="2025-11-16T14:39:23Z"/>
        <d v="2025-11-16T15:42:11Z"/>
        <d v="2025-11-16T15:48:36Z"/>
        <d v="2025-11-16T16:04:04Z"/>
        <d v="2025-11-16T17:30:03Z"/>
        <d v="2025-11-16T17:57:15Z"/>
        <d v="2025-11-16T18:18:39Z"/>
        <d v="2025-11-16T18:22:13Z"/>
        <d v="2025-11-16T21:04:48Z"/>
        <d v="2025-11-16T21:15:06Z"/>
        <d v="2025-11-17T11:48:08Z"/>
        <d v="2025-11-17T13:53:03Z"/>
        <d v="2025-11-17T14:11:56Z"/>
        <d v="2025-11-17T16:12:45Z"/>
        <d v="2025-11-17T17:26:46Z"/>
        <d v="2025-11-17T17:49:30Z"/>
        <d v="2025-11-17T18:15:08Z"/>
        <d v="2025-11-17T18:42:15Z"/>
        <d v="2025-11-17T21:05:34Z"/>
        <d v="2025-11-17T21:32:26Z"/>
        <d v="2025-11-17T21:44:45Z"/>
        <d v="2025-11-17T22:04:22Z"/>
        <d v="2025-11-17T22:21:38Z"/>
        <d v="2025-11-18T13:25:25Z"/>
        <d v="2025-11-18T13:54:09Z"/>
        <d v="2025-11-18T17:28:22Z"/>
        <d v="2025-11-18T18:05:17Z"/>
        <d v="2025-11-18T18:54:49Z"/>
        <d v="2025-11-18T19:20:44Z"/>
        <d v="2025-11-18T19:22:14Z"/>
        <d v="2025-11-18T19:36:08Z"/>
        <d v="2025-11-18T20:21:28Z"/>
        <d v="2025-11-18T21:13:37Z"/>
        <d v="2025-11-18T22:12:20Z"/>
        <d v="2025-11-18T22:15:41Z"/>
        <d v="2025-11-19T12:44:31Z"/>
        <d v="2025-11-19T15:08:28Z"/>
        <d v="2025-11-19T17:27:00Z"/>
        <d v="2025-11-19T17:27:07Z"/>
        <d v="2025-11-19T19:47:22Z"/>
        <d v="2025-11-19T19:53:17Z"/>
        <d v="2025-11-19T20:44:51Z"/>
        <d v="2025-11-19T20:57:53Z"/>
        <d v="2025-11-19T21:33:10Z"/>
        <d v="2025-11-19T21:38:30Z"/>
        <d v="2025-11-19T21:52:14Z"/>
        <d v="2025-11-19T22:36:05Z"/>
        <d v="2025-11-19T22:39:43Z"/>
        <d v="2025-11-19T22:42:59Z"/>
        <d v="2025-11-20T16:35:49Z"/>
        <d v="2025-11-20T19:25:30Z"/>
        <d v="2025-11-20T21:25:23Z"/>
        <d v="2025-11-20T22:08:42Z"/>
        <d v="2025-11-20T22:43:42Z"/>
        <d v="2025-11-21T13:10:35Z"/>
        <d v="2025-11-21T13:35:57Z"/>
        <d v="2025-11-21T14:44:29Z"/>
        <d v="2025-11-21T15:01:57Z"/>
        <d v="2025-11-21T16:59:59Z"/>
        <d v="2025-11-21T18:09:40Z"/>
        <d v="2025-11-21T18:42:33Z"/>
        <d v="2025-11-21T19:04:00Z"/>
        <d v="2025-11-21T19:12:26Z"/>
        <d v="2025-11-21T19:23:54Z"/>
        <d v="2025-11-21T22:12:04Z"/>
        <d v="2025-11-22T13:14:31Z"/>
        <d v="2025-11-22T14:04:15Z"/>
        <d v="2025-11-22T14:15:46Z"/>
        <d v="2025-11-22T14:32:54Z"/>
        <d v="2025-11-22T18:23:09Z"/>
        <d v="2025-11-22T20:44:51Z"/>
        <d v="2025-11-22T21:24:36Z"/>
        <d v="2025-11-22T21:32:02Z"/>
        <d v="2025-11-22T21:41:32Z"/>
        <d v="2025-11-22T23:05:58Z"/>
        <d v="2025-11-24T11:38:48Z"/>
        <d v="2025-11-24T12:16:37Z"/>
        <d v="2025-11-24T12:26:43Z"/>
        <d v="2025-11-24T13:26:12Z"/>
        <d v="2025-11-24T14:40:57Z"/>
        <d v="2025-11-24T16:01:46Z"/>
        <d v="2025-11-24T16:03:55Z"/>
        <d v="2025-11-24T17:18:53Z"/>
        <d v="2025-11-25T12:40:34Z"/>
        <d v="2025-11-25T13:13:45Z"/>
        <d v="2025-11-25T13:46:41Z"/>
        <d v="2025-11-25T14:06:48Z"/>
        <d v="2025-11-25T14:17:22Z"/>
        <d v="2025-11-25T15:25:25Z"/>
        <d v="2025-11-25T15:31:15Z"/>
        <d v="2025-11-25T15:51:56Z"/>
        <d v="2025-11-25T18:59:18Z"/>
        <d v="2025-11-25T20:48:33Z"/>
        <d v="2025-11-25T21:14:22Z"/>
        <d v="2025-11-25T21:28:32Z"/>
        <d v="2025-11-25T21:41:11Z"/>
        <d v="2025-11-25T22:25:23Z"/>
        <d v="2025-11-25T22:39:34Z"/>
        <d v="2025-11-25T23:12:54Z"/>
        <d v="2025-11-26T18:16:07Z"/>
        <d v="2025-11-26T18:49:47Z"/>
        <d v="2025-11-26T18:54:40Z"/>
        <d v="2025-11-26T19:20:52Z"/>
        <d v="2025-11-26T19:24:04Z"/>
        <d v="2025-11-26T19:24:28Z"/>
        <d v="2025-11-26T19:31:39Z"/>
        <d v="2025-11-26T20:12:48Z"/>
        <d v="2025-11-26T20:17:07Z"/>
        <d v="2025-11-26T20:17:32Z"/>
        <d v="2025-11-26T21:19:16Z"/>
        <d v="2025-11-26T21:29:45Z"/>
        <d v="2025-11-26T21:38:39Z"/>
        <d v="2025-11-26T22:26:44Z"/>
        <d v="2025-11-26T22:27:46Z"/>
        <d v="2025-11-26T22:37:48Z"/>
        <d v="2025-11-26T22:38:56Z"/>
        <d v="2025-11-27T12:32:53Z"/>
        <d v="2025-11-27T13:56:04Z"/>
        <d v="2025-11-27T15:22:18Z"/>
        <d v="2025-11-27T15:41:20Z"/>
        <d v="2025-11-27T15:45:55Z"/>
        <d v="2025-11-27T17:13:10Z"/>
        <d v="2025-11-27T17:15:53Z"/>
        <d v="2025-11-27T18:08:40Z"/>
        <d v="2025-11-27T19:01:58Z"/>
        <d v="2025-11-27T19:02:37Z"/>
        <d v="2025-11-27T19:22:59Z"/>
        <d v="2025-11-27T19:27:47Z"/>
        <d v="2025-11-27T19:34:41Z"/>
        <d v="2025-11-27T20:05:39Z"/>
        <d v="2025-11-27T20:33:25Z"/>
        <d v="2025-11-27T22:02:13Z"/>
        <d v="2025-11-27T22:41:08Z"/>
        <d v="2025-11-27T22:41:09Z"/>
        <d v="2025-11-27T22:46:59Z"/>
        <d v="2025-11-27T23:18:22Z"/>
        <d v="2025-11-27T23:24:49Z"/>
        <d v="2025-11-28T14:56:15Z"/>
        <d v="2025-11-28T15:20:02Z"/>
        <d v="2025-11-28T18:40:25Z"/>
        <d v="2025-11-28T20:34:21Z"/>
        <d v="2025-11-28T20:55:09Z"/>
        <d v="2025-11-28T21:46:16Z"/>
        <d v="2025-11-28T22:38:07Z"/>
        <d v="2025-11-29T14:06:22Z"/>
        <d v="2025-11-29T18:02:39Z"/>
        <d v="2025-11-29T20:20:20Z"/>
        <d v="2025-11-29T21:03:58Z"/>
        <d v="2025-11-29T21:41:07Z"/>
        <d v="2025-11-29T22:18:41Z"/>
        <d v="2025-11-29T22:40:02Z"/>
        <d v="2025-11-30T11:39:07Z"/>
        <d v="2025-11-30T12:28:11Z"/>
        <d v="2025-11-30T12:29:46Z"/>
        <d v="2025-11-30T13:20:09Z"/>
        <d v="2025-11-30T13:35:44Z"/>
        <d v="2025-11-30T14:08:09Z"/>
        <d v="2025-11-30T15:10:41Z"/>
        <d v="2025-11-30T15:31:41Z"/>
        <d v="2025-11-30T16:25:04Z"/>
        <d v="2025-11-30T17:26:13Z"/>
        <d v="2025-11-30T17:41:32Z"/>
        <d v="2025-11-30T18:31:37Z"/>
        <d v="2025-11-30T18:38:54Z"/>
        <d v="2025-11-30T20:43:26Z"/>
        <d v="2025-11-30T20:43:47Z"/>
        <d v="2025-11-30T21:07:00Z"/>
        <d v="2025-11-30T22:24:57Z"/>
        <d v="2025-12-01T12:10:41Z"/>
        <d v="2025-12-01T12:50:34Z"/>
        <d v="2025-12-01T13:50:37Z"/>
        <d v="2025-12-01T16:19:49Z"/>
        <d v="2025-12-01T16:35:16Z"/>
        <d v="2025-12-01T21:52:28Z"/>
        <d v="2025-12-01T22:23:36Z"/>
        <d v="2025-12-02T11:14:52Z"/>
        <d v="2025-12-02T12:09:11Z"/>
        <d v="2025-12-02T12:21:18Z"/>
        <d v="2025-12-02T12:57:57Z"/>
        <d v="2025-12-02T12:59:46Z"/>
        <d v="2025-12-02T13:44:17Z"/>
        <d v="2025-12-02T15:30:53Z"/>
        <d v="2025-12-02T16:27:18Z"/>
        <d v="2025-12-02T17:06:56Z"/>
        <d v="2025-12-02T18:00:46Z"/>
        <d v="2025-12-02T18:19:46Z"/>
        <d v="2025-12-02T18:47:15Z"/>
        <d v="2025-12-02T19:05:49Z"/>
        <d v="2025-12-02T19:14:14Z"/>
        <d v="2025-12-02T20:07:54Z"/>
        <d v="2025-12-02T20:17:52Z"/>
        <d v="2025-12-02T20:23:33Z"/>
        <d v="2025-12-02T20:46:54Z"/>
        <d v="2025-12-02T21:12:02Z"/>
        <d v="2025-12-02T21:31:57Z"/>
        <d v="2025-12-02T21:35:31Z"/>
        <d v="2025-12-02T22:12:39Z"/>
        <d v="2025-12-02T22:17:51Z"/>
        <d v="2025-12-02T22:31:55Z"/>
        <d v="2025-12-03T11:10:22Z"/>
        <d v="2025-12-03T13:46:01Z"/>
        <d v="2025-12-03T20:10:23Z"/>
        <d v="2025-12-03T20:34:36Z"/>
        <d v="2025-12-03T20:41:26Z"/>
        <d v="2025-12-03T21:10:32Z"/>
        <d v="2025-12-03T21:32:28Z"/>
        <d v="2025-12-03T22:35:17Z"/>
        <d v="2025-12-03T22:55:13Z"/>
        <d v="2025-12-04T20:25:02Z"/>
        <d v="2025-12-04T20:35:52Z"/>
        <d v="2025-12-04T20:54:19Z"/>
        <d v="2025-12-04T22:06:57Z"/>
        <d v="2025-12-04T22:18:14Z"/>
        <d v="2025-12-05T11:29:32Z"/>
        <d v="2025-12-05T11:41:20Z"/>
        <d v="2025-12-05T12:28:00Z"/>
        <d v="2025-12-05T13:33:35Z"/>
        <d v="2025-12-05T15:05:30Z"/>
        <d v="2025-12-05T17:28:40Z"/>
        <d v="2025-12-05T17:42:15Z"/>
        <d v="2025-12-05T18:02:07Z"/>
        <d v="2025-12-05T18:43:25Z"/>
        <d v="2025-12-05T19:35:29Z"/>
        <d v="2025-12-05T19:50:56Z"/>
        <d v="2025-12-05T20:45:50Z"/>
        <d v="2025-12-05T21:12:21Z"/>
        <d v="2025-12-05T21:33:50Z"/>
        <d v="2025-12-05T21:43:31Z"/>
        <d v="2025-12-05T21:49:45Z"/>
        <d v="2025-12-05T22:18:55Z"/>
        <d v="2025-12-05T22:30:23Z"/>
        <d v="2025-12-06T14:16:48Z"/>
        <d v="2025-12-06T14:19:15Z"/>
        <d v="2025-12-06T15:31:42Z"/>
        <d v="2025-12-06T15:54:39Z"/>
        <d v="2025-12-06T18:30:43Z"/>
        <d v="2025-12-06T20:40:34Z"/>
        <d v="2025-12-07T12:29:15Z"/>
        <d v="2025-12-07T17:06:09Z"/>
        <d v="2025-12-07T17:16:09Z"/>
        <d v="2025-12-07T17:16:23Z"/>
        <d v="2025-12-07T17:41:09Z"/>
        <d v="2025-12-07T18:36:03Z"/>
        <d v="2025-12-07T19:36:35Z"/>
        <d v="2025-12-07T20:40:17Z"/>
        <d v="2025-12-07T22:50:23Z"/>
        <d v="2025-12-08T12:13:01Z"/>
        <d v="2025-12-08T13:00:24Z"/>
        <d v="2025-12-08T13:23:04Z"/>
        <d v="2025-12-08T14:26:08Z"/>
        <d v="2025-12-08T15:48:00Z"/>
        <d v="2025-12-08T17:56:03Z"/>
        <d v="2025-12-08T18:08:26Z"/>
        <d v="2025-12-08T18:11:36Z"/>
        <d v="2025-12-08T20:45:22Z"/>
        <d v="2025-12-08T21:35:03Z"/>
        <d v="2025-12-08T21:41:42Z"/>
        <d v="2025-12-08T21:45:20Z"/>
        <d v="2025-12-08T22:22:06Z"/>
        <d v="2025-12-08T22:41:57Z"/>
        <d v="2025-12-09T12:04:30Z"/>
        <d v="2025-12-09T12:26:36Z"/>
        <d v="2025-12-09T13:55:54Z"/>
        <d v="2025-12-09T14:27:36Z"/>
        <d v="2025-12-09T17:20:32Z"/>
        <d v="2025-12-09T18:17:10Z"/>
        <d v="2025-12-09T18:29:27Z"/>
        <d v="2025-12-09T19:47:17Z"/>
        <d v="2025-12-09T21:18:53Z"/>
        <d v="2025-12-09T21:42:08Z"/>
        <d v="2025-12-09T21:42:47Z"/>
        <d v="2025-12-09T22:07:55Z"/>
        <d v="2025-12-09T22:14:35Z"/>
        <d v="2025-12-09T22:16:24Z"/>
        <d v="2025-12-09T22:25:24Z"/>
        <d v="2025-12-10T12:22:15Z"/>
        <d v="2025-12-10T12:29:13Z"/>
        <d v="2025-12-10T13:12:36Z"/>
        <d v="2025-12-10T21:17:41Z"/>
        <d v="2025-12-10T22:17:02Z"/>
        <d v="2025-12-11T11:13:58Z"/>
        <d v="2025-12-11T12:39:19Z"/>
        <d v="2025-12-11T13:31:24Z"/>
        <d v="2025-12-11T15:33:49Z"/>
        <d v="2025-12-11T17:33:02Z"/>
        <d v="2025-12-11T18:19:12Z"/>
        <d v="2025-12-11T18:27:56Z"/>
        <d v="2025-12-11T19:58:01Z"/>
        <d v="2025-12-11T19:59:41Z"/>
        <d v="2025-12-11T20:02:24Z"/>
        <d v="2025-12-11T20:09:56Z"/>
        <d v="2025-12-11T20:18:37Z"/>
        <d v="2025-12-11T20:56:06Z"/>
        <d v="2025-12-11T21:22:41Z"/>
        <d v="2025-12-11T21:55:02Z"/>
        <d v="2025-12-11T22:39:25Z"/>
        <d v="2025-12-11T22:50:29Z"/>
        <d v="2025-12-12T11:18:26Z"/>
        <d v="2025-12-12T11:41:21Z"/>
        <d v="2025-12-12T11:53:17Z"/>
        <d v="2025-12-12T12:29:36Z"/>
        <d v="2025-12-12T13:56:03Z"/>
        <d v="2025-12-12T17:53:16Z"/>
        <d v="2025-12-12T19:17:08Z"/>
        <d v="2025-12-12T19:44:19Z"/>
        <d v="2025-12-12T19:50:43Z"/>
        <d v="2025-12-12T20:52:09Z"/>
        <d v="2025-12-12T21:37:02Z"/>
        <d v="2025-12-13T12:28:52Z"/>
        <d v="2025-12-13T13:01:57Z"/>
        <d v="2025-12-13T13:09:23Z"/>
        <d v="2025-12-13T14:00:16Z"/>
        <d v="2025-12-13T15:29:07Z"/>
        <d v="2025-12-13T18:55:44Z"/>
        <d v="2025-12-13T19:01:11Z"/>
        <d v="2025-12-13T19:22:59Z"/>
        <d v="2025-12-13T21:46:08Z"/>
        <d v="2025-12-14T11:36:41Z"/>
        <d v="2025-12-14T11:39:35Z"/>
        <d v="2025-12-14T12:32:12Z"/>
        <d v="2025-12-14T13:27:47Z"/>
        <d v="2025-12-14T13:41:04Z"/>
        <d v="2025-12-14T14:08:47Z"/>
        <d v="2025-12-14T14:10:21Z"/>
        <d v="2025-12-14T14:37:26Z"/>
        <d v="2025-12-14T18:04:52Z"/>
        <d v="2025-12-14T18:36:49Z"/>
        <d v="2025-12-14T18:52:11Z"/>
        <d v="2025-12-14T18:55:02Z"/>
        <d v="2025-12-14T19:10:56Z"/>
        <d v="2025-12-14T20:02:19Z"/>
        <d v="2025-12-14T21:14:10Z"/>
        <d v="2025-12-14T21:26:56Z"/>
        <d v="2025-12-14T22:00:05Z"/>
        <d v="2025-12-14T22:04:24Z"/>
        <d v="2025-12-15T12:58:33Z"/>
        <d v="2025-12-15T18:30:28Z"/>
        <d v="2025-12-15T19:28:30Z"/>
        <d v="2025-12-15T19:39:34Z"/>
        <d v="2025-12-15T19:46:13Z"/>
        <d v="2025-12-15T21:58:40Z"/>
        <d v="2025-12-15T22:56:34Z"/>
        <d v="2025-12-16T11:06:15Z"/>
        <d v="2025-12-16T11:38:06Z"/>
        <d v="2025-12-16T15:56:14Z"/>
        <d v="2025-12-16T18:41:10Z"/>
        <d v="2025-12-16T18:55:27Z"/>
        <d v="2025-12-16T19:04:45Z"/>
        <d v="2025-12-16T19:36:12Z"/>
        <d v="2025-12-16T19:55:16Z"/>
        <d v="2025-12-16T20:15:05Z"/>
        <d v="2025-12-16T20:42:40Z"/>
        <d v="2025-12-16T22:04:00Z"/>
        <d v="2025-12-17T12:33:10Z"/>
        <d v="2025-12-17T14:47:33Z"/>
        <d v="2025-12-17T15:59:56Z"/>
        <d v="2025-12-17T16:36:39Z"/>
        <d v="2025-12-17T16:54:13Z"/>
        <d v="2025-12-17T17:26:07Z"/>
        <d v="2025-12-17T17:50:33Z"/>
        <d v="2025-12-17T18:56:12Z"/>
        <d v="2025-12-17T21:28:43Z"/>
        <d v="2025-12-17T21:29:57Z"/>
        <d v="2025-12-17T22:12:24Z"/>
        <d v="2025-12-17T22:48:53Z"/>
        <d v="2025-12-18T11:15:33Z"/>
        <d v="2025-12-18T11:29:31Z"/>
        <d v="2025-12-18T12:05:47Z"/>
        <d v="2025-12-18T16:07:09Z"/>
        <d v="2025-12-18T20:03:37Z"/>
        <d v="2025-12-18T20:39:36Z"/>
        <d v="2025-12-18T22:18:05Z"/>
        <d v="2025-12-19T11:22:31Z"/>
        <d v="2025-12-19T11:30:32Z"/>
        <d v="2025-12-19T11:49:14Z"/>
        <d v="2025-12-19T12:15:07Z"/>
        <d v="2025-12-19T14:15:04Z"/>
        <d v="2025-12-19T15:14:48Z"/>
        <d v="2025-12-19T15:19:34Z"/>
        <d v="2025-12-19T15:54:07Z"/>
        <d v="2025-12-19T17:46:16Z"/>
        <d v="2025-12-19T17:58:47Z"/>
        <d v="2025-12-19T19:03:49Z"/>
        <d v="2025-12-19T19:40:39Z"/>
        <d v="2025-12-19T20:48:32Z"/>
        <d v="2025-12-19T20:52:46Z"/>
        <d v="2025-12-19T20:56:04Z"/>
        <d v="2025-12-19T21:20:27Z"/>
        <d v="2025-12-19T21:38:59Z"/>
        <d v="2025-12-19T22:11:06Z"/>
        <d v="2025-12-19T22:34:22Z"/>
        <d v="2025-12-19T22:50:48Z"/>
        <d v="2025-12-20T11:34:34Z"/>
        <d v="2025-12-20T14:09:48Z"/>
        <d v="2025-12-20T14:47:29Z"/>
        <d v="2025-12-20T14:49:10Z"/>
        <d v="2025-12-20T15:05:09Z"/>
        <d v="2025-12-20T15:55:33Z"/>
        <d v="2025-12-20T17:24:57Z"/>
        <d v="2025-12-20T17:28:13Z"/>
        <d v="2025-12-20T18:18:54Z"/>
        <d v="2025-12-20T19:07:32Z"/>
        <d v="2025-12-20T19:16:51Z"/>
        <d v="2025-12-20T19:25:05Z"/>
        <d v="2025-12-20T19:49:29Z"/>
        <d v="2025-12-20T21:17:35Z"/>
        <d v="2025-12-20T21:44:15Z"/>
        <d v="2025-12-20T22:10:49Z"/>
        <d v="2025-12-20T22:24:18Z"/>
        <d v="2025-12-21T11:12:25Z"/>
        <d v="2025-12-21T11:14:15Z"/>
        <d v="2025-12-21T11:22:07Z"/>
        <d v="2025-12-21T11:40:14Z"/>
        <d v="2025-12-21T12:35:42Z"/>
        <d v="2025-12-21T13:28:32Z"/>
        <d v="2025-12-21T17:18:45Z"/>
        <d v="2025-12-21T18:00:30Z"/>
        <d v="2025-12-21T18:53:28Z"/>
        <d v="2025-12-21T18:53:57Z"/>
        <d v="2025-12-22T17:56:16Z"/>
        <d v="2025-12-22T19:00:23Z"/>
        <d v="2025-12-22T21:44:17Z"/>
        <d v="2025-12-22T21:58:28Z"/>
        <d v="2025-12-23T11:58:23Z"/>
        <d v="2025-12-23T12:48:06Z"/>
        <d v="2025-12-23T14:11:57Z"/>
        <d v="2025-12-23T15:02:09Z"/>
        <d v="2025-12-23T17:27:08Z"/>
        <d v="2025-12-23T19:12:00Z"/>
        <d v="2025-12-23T20:39:40Z"/>
        <d v="2025-12-23T21:04:27Z"/>
        <d v="2025-12-24T11:56:29Z"/>
        <d v="2025-12-24T13:24:32Z"/>
        <d v="2025-12-24T15:10:27Z"/>
        <d v="2025-12-24T19:36:49Z"/>
        <d v="2025-12-24T19:54:57Z"/>
        <d v="2025-12-24T20:00:16Z"/>
        <d v="2025-12-24T20:17:30Z"/>
        <d v="2025-12-24T21:59:49Z"/>
        <d v="2025-12-25T16:38:02Z"/>
        <d v="2025-12-25T17:09:13Z"/>
        <d v="2025-12-25T18:49:32Z"/>
        <d v="2025-12-25T19:37:14Z"/>
        <d v="2025-12-25T20:17:12Z"/>
        <d v="2025-12-25T20:53:07Z"/>
        <d v="2025-12-25T21:32:47Z"/>
        <d v="2025-12-25T21:54:34Z"/>
        <d v="2025-12-25T22:35:31Z"/>
        <d v="2025-12-26T11:15:49Z"/>
        <d v="2025-12-26T11:24:09Z"/>
        <d v="2025-12-26T11:56:10Z"/>
        <d v="2025-12-26T12:06:51Z"/>
        <d v="2025-12-26T12:57:45Z"/>
        <d v="2025-12-26T12:58:01Z"/>
        <d v="2025-12-26T13:19:21Z"/>
        <d v="2025-12-26T14:06:22Z"/>
        <d v="2025-12-26T14:42:12Z"/>
        <d v="2025-12-26T14:47:48Z"/>
        <d v="2025-12-26T15:46:52Z"/>
        <d v="2025-12-26T17:38:07Z"/>
        <d v="2025-12-26T20:25:58Z"/>
        <d v="2025-12-26T20:26:02Z"/>
        <d v="2025-12-26T21:56:07Z"/>
        <d v="2025-12-26T22:08:12Z"/>
        <d v="2025-12-27T11:47:42Z"/>
        <d v="2025-12-27T12:13:55Z"/>
        <d v="2025-12-27T12:46:09Z"/>
        <d v="2025-12-27T12:50:06Z"/>
        <d v="2025-12-27T13:22:35Z"/>
        <d v="2025-12-27T14:09:54Z"/>
        <d v="2025-12-27T14:31:53Z"/>
        <d v="2025-12-27T14:53:43Z"/>
        <d v="2025-12-27T15:31:14Z"/>
        <d v="2025-12-27T15:33:18Z"/>
        <d v="2025-12-27T16:47:57Z"/>
        <d v="2025-12-27T16:49:02Z"/>
        <d v="2025-12-27T16:58:01Z"/>
        <d v="2025-12-27T19:27:47Z"/>
        <d v="2025-12-27T19:52:31Z"/>
        <d v="2025-12-27T20:07:15Z"/>
        <d v="2025-12-27T20:11:38Z"/>
        <d v="2025-12-27T20:33:58Z"/>
        <d v="2025-12-27T21:25:30Z"/>
        <d v="2025-12-27T21:36:38Z"/>
        <d v="2025-12-27T21:45:23Z"/>
        <d v="2025-12-27T22:04:44Z"/>
        <d v="2025-12-27T22:05:23Z"/>
        <d v="2025-12-28T11:21:51Z"/>
        <d v="2025-12-28T12:02:32Z"/>
        <d v="2025-12-28T12:13:05Z"/>
        <d v="2025-12-28T12:54:36Z"/>
        <d v="2025-12-28T13:26:39Z"/>
        <d v="2025-12-28T15:54:06Z"/>
        <d v="2025-12-28T16:30:42Z"/>
        <d v="2025-12-28T20:01:50Z"/>
        <d v="2025-12-28T20:31:30Z"/>
        <d v="2025-12-28T21:23:42Z"/>
        <d v="2025-12-28T21:28:36Z"/>
        <d v="2025-12-28T21:54:08Z"/>
        <d v="2025-12-28T22:40:04Z"/>
        <d v="2025-12-29T16:58:15Z"/>
        <d v="2025-12-29T17:51:26Z"/>
        <d v="2025-12-29T19:16:03Z"/>
        <d v="2025-12-29T20:54:14Z"/>
        <d v="2025-12-29T21:23:27Z"/>
        <d v="2025-12-29T22:11:59Z"/>
        <d v="2025-12-29T22:39:18Z"/>
        <d v="2025-12-30T12:20:56Z"/>
        <d v="2025-12-30T16:25:42Z"/>
        <d v="2025-12-30T17:05:46Z"/>
        <d v="2025-12-30T17:22:44Z"/>
        <d v="2025-12-30T18:27:38Z"/>
        <d v="2025-12-30T19:06:11Z"/>
        <d v="2025-12-30T19:47:10Z"/>
        <d v="2025-12-30T19:52:39Z"/>
        <d v="2025-12-30T20:28:14Z"/>
        <d v="2025-12-30T21:54:30Z"/>
        <d v="2025-12-30T22:07:47Z"/>
        <d v="2025-12-30T22:15:54Z"/>
        <d v="2025-12-31T11:18:49Z"/>
        <d v="2025-12-31T11:30:26Z"/>
        <d v="2025-12-31T12:37:45Z"/>
        <d v="2025-12-31T14:46:34Z"/>
        <d v="2025-12-31T14:56:46Z"/>
        <d v="2025-12-31T15:11:34Z"/>
        <d v="2025-12-31T18:22:09Z"/>
        <d v="2025-12-31T19:16:58Z"/>
        <d v="2025-12-31T19:51:59Z"/>
        <d v="2025-12-31T20:44:10Z"/>
        <d v="2025-12-31T21:07:33Z"/>
        <d v="2025-12-31T21:26:29Z"/>
        <d v="2025-12-31T22:10:56Z"/>
        <d v="2025-12-31T22:32:54Z"/>
        <d v="2025-12-31T22:47:20Z"/>
        <d v="2026-01-01T11:35:32Z"/>
        <d v="2026-01-01T11:50:27Z"/>
        <d v="2026-01-01T13:01:34Z"/>
        <d v="2026-01-01T13:27:17Z"/>
        <d v="2026-01-01T14:26:07Z"/>
        <d v="2026-01-01T14:36:08Z"/>
        <d v="2026-01-01T15:18:22Z"/>
        <d v="2026-01-01T15:24:49Z"/>
        <d v="2026-01-01T15:52:13Z"/>
        <d v="2026-01-01T16:02:42Z"/>
        <d v="2026-01-01T16:56:49Z"/>
        <d v="2026-01-01T18:08:39Z"/>
        <d v="2026-01-01T18:11:35Z"/>
        <d v="2026-01-01T19:30:34Z"/>
        <d v="2026-01-01T19:33:13Z"/>
        <d v="2026-01-01T21:20:05Z"/>
        <d v="2026-01-01T21:40:08Z"/>
        <d v="2026-01-01T21:59:15Z"/>
        <d v="2026-01-01T22:15:38Z"/>
        <d v="2026-01-02T11:13:01Z"/>
        <d v="2026-01-02T11:30:06Z"/>
        <d v="2026-01-02T12:33:11Z"/>
        <d v="2026-01-02T14:34:28Z"/>
        <d v="2026-01-02T17:09:48Z"/>
        <d v="2026-01-02T18:16:20Z"/>
        <d v="2026-01-02T19:39:38Z"/>
        <d v="2026-01-02T20:37:36Z"/>
        <d v="2026-01-02T20:39:40Z"/>
        <d v="2026-01-02T20:50:04Z"/>
        <d v="2026-01-02T21:04:12Z"/>
        <d v="2026-01-02T22:11:01Z"/>
        <d v="2026-01-02T22:12:20Z"/>
        <d v="2026-01-02T22:36:52Z"/>
        <d v="2026-01-03T14:28:48Z"/>
        <d v="2026-01-03T15:50:15Z"/>
        <d v="2026-01-03T17:05:53Z"/>
        <d v="2026-01-03T18:39:39Z"/>
        <d v="2026-01-03T18:57:41Z"/>
        <d v="2026-01-03T19:41:12Z"/>
        <d v="2026-01-03T20:29:45Z"/>
        <d v="2026-01-03T20:32:48Z"/>
        <d v="2026-01-03T20:53:00Z"/>
        <d v="2026-01-03T21:54:43Z"/>
        <d v="2026-01-03T22:22:51Z"/>
        <d v="2026-01-04T11:45:35Z"/>
        <d v="2026-01-04T12:11:23Z"/>
        <d v="2026-01-04T17:11:36Z"/>
        <d v="2026-01-04T20:13:03Z"/>
        <d v="2026-01-04T20:30:12Z"/>
        <d v="2026-01-04T20:39:10Z"/>
        <d v="2026-01-04T20:50:05Z"/>
        <d v="2026-01-04T21:09:39Z"/>
        <d v="2026-01-04T22:24:03Z"/>
        <d v="2026-01-04T22:29:28Z"/>
        <d v="2026-01-05T14:42:51Z"/>
        <d v="2026-01-05T15:20:13Z"/>
        <d v="2026-01-05T15:47:32Z"/>
        <d v="2026-01-05T16:05:17Z"/>
        <d v="2026-01-05T19:50:40Z"/>
        <d v="2026-01-05T20:47:49Z"/>
        <d v="2026-01-05T21:22:59Z"/>
        <d v="2026-01-05T22:04:01Z"/>
        <d v="2026-01-06T14:06:53Z"/>
        <d v="2026-01-06T15:16:33Z"/>
        <d v="2026-01-07T14:55:20Z"/>
        <d v="2026-01-07T15:01:54Z"/>
        <d v="2026-01-07T16:41:29Z"/>
        <d v="2026-01-07T18:03:11Z"/>
        <d v="2026-01-07T20:32:50Z"/>
        <d v="2026-01-07T21:21:07Z"/>
        <d v="2026-01-07T22:02:14Z"/>
        <d v="2026-01-08T11:10:28Z"/>
        <d v="2026-01-08T11:56:07Z"/>
        <d v="2026-01-08T13:36:39Z"/>
        <d v="2026-01-08T14:18:59Z"/>
        <d v="2026-01-08T16:35:24Z"/>
        <d v="2026-01-08T19:33:45Z"/>
        <d v="2026-01-08T22:30:19Z"/>
        <d v="2026-01-09T16:04:10Z"/>
        <d v="2026-01-09T17:31:45Z"/>
        <d v="2026-01-09T18:02:54Z"/>
        <d v="2026-01-09T18:16:56Z"/>
        <d v="2026-01-09T19:08:48Z"/>
        <d v="2026-01-09T19:20:53Z"/>
        <d v="2026-01-09T20:08:40Z"/>
        <d v="2026-01-09T20:48:03Z"/>
        <d v="2026-01-09T21:14:18Z"/>
        <d v="2026-01-09T21:16:46Z"/>
        <d v="2026-01-10T11:03:38Z"/>
        <d v="2026-01-10T12:47:21Z"/>
        <d v="2026-01-10T12:53:48Z"/>
        <d v="2026-01-10T13:33:41Z"/>
        <d v="2026-01-10T17:33:44Z"/>
        <d v="2026-01-10T17:59:07Z"/>
        <d v="2026-01-10T18:35:11Z"/>
        <d v="2026-01-10T18:45:32Z"/>
        <d v="2026-01-10T19:06:42Z"/>
        <d v="2026-01-10T19:12:38Z"/>
        <d v="2026-01-10T19:15:55Z"/>
        <d v="2026-01-10T21:38:10Z"/>
        <d v="2026-01-11T12:09:51Z"/>
        <d v="2026-01-11T13:03:21Z"/>
        <d v="2026-01-11T13:32:59Z"/>
        <d v="2026-01-11T14:51:33Z"/>
        <d v="2026-01-11T18:16:54Z"/>
        <d v="2026-01-11T18:29:36Z"/>
        <d v="2026-01-11T20:09:07Z"/>
        <d v="2026-01-11T21:41:41Z"/>
        <d v="2026-01-11T21:57:54Z"/>
        <d v="2026-01-11T22:00:14Z"/>
        <d v="2026-01-11T22:02:57Z"/>
        <d v="2026-01-11T22:28:12Z"/>
        <d v="2026-01-11T22:32:42Z"/>
        <d v="2026-01-11T22:54:20Z"/>
        <d v="2026-01-12T12:03:54Z"/>
        <d v="2026-01-12T15:37:32Z"/>
        <d v="2026-01-12T15:37:42Z"/>
        <d v="2026-01-12T18:48:50Z"/>
        <d v="2026-01-12T20:21:48Z"/>
        <d v="2026-01-12T21:24:57Z"/>
        <d v="2026-01-12T21:33:48Z"/>
        <d v="2026-01-12T21:58:31Z"/>
        <d v="2026-01-12T22:42:14Z"/>
        <d v="2026-01-13T15:23:12Z"/>
        <d v="2026-01-13T15:43:31Z"/>
        <d v="2026-01-13T17:44:45Z"/>
        <d v="2026-01-13T17:54:54Z"/>
        <d v="2026-01-13T18:45:32Z"/>
        <d v="2026-01-13T19:19:25Z"/>
        <d v="2026-01-13T19:22:38Z"/>
        <d v="2026-01-13T19:54:01Z"/>
        <d v="2026-01-13T20:04:18Z"/>
        <d v="2026-01-13T21:05:28Z"/>
        <d v="2026-01-13T21:44:55Z"/>
        <d v="2026-01-13T21:51:32Z"/>
        <d v="2026-01-14T11:22:54Z"/>
        <d v="2026-01-14T11:43:59Z"/>
        <d v="2026-01-14T17:15:51Z"/>
        <d v="2026-01-14T17:56:28Z"/>
        <d v="2026-01-14T19:28:31Z"/>
        <d v="2026-01-14T20:51:10Z"/>
        <d v="2026-01-14T21:03:27Z"/>
        <d v="2026-01-14T21:22:29Z"/>
        <d v="2026-01-14T21:27:37Z"/>
        <d v="2026-01-14T21:52:32Z"/>
        <d v="2026-01-14T22:54:20Z"/>
        <d v="2026-01-15T11:05:53Z"/>
        <d v="2026-01-15T12:20:18Z"/>
        <d v="2026-01-15T13:50:55Z"/>
        <d v="2026-01-15T15:40:42Z"/>
        <d v="2026-01-15T16:27:18Z"/>
        <d v="2026-01-15T19:06:16Z"/>
        <d v="2026-01-15T19:29:34Z"/>
        <d v="2026-01-15T21:25:52Z"/>
        <d v="2026-01-15T22:01:59Z"/>
        <d v="2026-01-15T22:05:44Z"/>
        <d v="2026-01-16T11:35:03Z"/>
        <d v="2026-01-16T12:13:47Z"/>
        <d v="2026-01-16T12:29:38Z"/>
        <d v="2026-01-16T13:06:00Z"/>
        <d v="2026-01-17T12:59:52Z"/>
        <d v="2026-01-17T16:49:07Z"/>
        <d v="2026-01-17T17:08:35Z"/>
        <d v="2026-01-17T18:15:16Z"/>
        <d v="2026-01-17T18:18:56Z"/>
        <d v="2026-01-17T18:42:54Z"/>
        <d v="2026-01-17T19:25:01Z"/>
        <d v="2026-01-17T19:26:13Z"/>
        <d v="2026-01-17T20:22:17Z"/>
        <d v="2026-01-17T21:19:15Z"/>
        <d v="2026-01-17T21:38:31Z"/>
        <d v="2026-01-17T22:23:15Z"/>
        <d v="2026-01-17T22:32:32Z"/>
        <d v="2026-01-17T22:49:14Z"/>
        <d v="2026-01-17T22:55:05Z"/>
        <d v="2026-01-18T13:48:44Z"/>
        <d v="2026-01-18T15:54:44Z"/>
        <d v="2026-01-18T17:17:45Z"/>
        <d v="2026-01-18T17:24:15Z"/>
        <d v="2026-01-18T21:07:53Z"/>
        <d v="2026-01-18T21:54:39Z"/>
        <d v="2026-01-18T21:58:21Z"/>
        <d v="2026-01-18T22:48:08Z"/>
        <d v="2026-01-19T12:04:48Z"/>
        <d v="2026-01-19T12:49:55Z"/>
        <d v="2026-01-19T13:05:33Z"/>
        <d v="2026-01-19T13:48:10Z"/>
        <d v="2026-01-19T16:31:37Z"/>
        <d v="2026-01-19T16:43:48Z"/>
        <d v="2026-01-19T16:55:43Z"/>
        <d v="2026-01-19T17:07:27Z"/>
        <d v="2026-01-19T18:30:17Z"/>
        <d v="2026-01-19T18:59:52Z"/>
        <d v="2026-01-19T19:21:27Z"/>
        <d v="2026-01-19T20:11:54Z"/>
        <d v="2026-01-19T20:50:50Z"/>
        <d v="2026-01-19T21:13:44Z"/>
        <d v="2026-01-19T21:44:43Z"/>
        <d v="2026-01-19T22:00:15Z"/>
        <d v="2026-01-19T22:28:41Z"/>
        <d v="2026-01-20T14:15:09Z"/>
        <d v="2026-01-20T15:46:16Z"/>
        <d v="2026-01-20T16:30:41Z"/>
        <d v="2026-01-20T16:48:26Z"/>
        <d v="2026-01-20T17:44:02Z"/>
        <d v="2026-01-20T18:00:58Z"/>
        <d v="2026-01-20T18:14:31Z"/>
        <d v="2026-01-20T18:18:08Z"/>
        <d v="2026-01-20T18:36:55Z"/>
        <d v="2026-01-20T18:41:51Z"/>
        <d v="2026-01-20T18:56:08Z"/>
        <d v="2026-01-20T19:16:28Z"/>
        <d v="2026-01-20T20:42:02Z"/>
        <d v="2026-01-20T22:01:29Z"/>
        <d v="2026-01-20T22:05:11Z"/>
        <d v="2026-01-20T22:20:12Z"/>
        <d v="2026-01-20T22:59:48Z"/>
        <d v="2026-01-21T12:12:32Z"/>
        <d v="2026-01-21T17:19:43Z"/>
        <d v="2026-01-21T18:49:51Z"/>
        <d v="2026-01-21T18:54:25Z"/>
        <d v="2026-01-21T19:22:25Z"/>
        <d v="2026-01-21T19:49:54Z"/>
        <d v="2026-01-21T19:58:11Z"/>
        <d v="2026-01-21T20:08:11Z"/>
        <d v="2026-01-21T21:02:27Z"/>
        <d v="2026-01-21T21:30:07Z"/>
        <d v="2026-01-21T22:14:56Z"/>
        <d v="2026-01-21T22:18:22Z"/>
        <d v="2026-01-22T11:20:56Z"/>
        <d v="2026-01-22T12:06:56Z"/>
        <d v="2026-01-22T12:17:47Z"/>
        <d v="2026-01-22T13:41:13Z"/>
        <d v="2026-01-22T14:44:21Z"/>
        <d v="2026-01-22T15:57:00Z"/>
        <d v="2026-01-22T20:32:45Z"/>
        <d v="2026-01-22T20:46:25Z"/>
        <d v="2026-01-22T21:01:31Z"/>
        <d v="2026-01-22T21:06:51Z"/>
        <d v="2026-01-22T21:08:28Z"/>
        <d v="2026-01-22T21:16:49Z"/>
        <d v="2026-01-22T21:38:10Z"/>
        <d v="2026-01-22T22:31:55Z"/>
        <d v="2026-01-22T22:35:53Z"/>
        <d v="2026-01-23T11:26:15Z"/>
        <d v="2026-01-23T12:28:42Z"/>
        <d v="2026-01-23T13:17:00Z"/>
        <d v="2026-01-23T13:57:54Z"/>
        <d v="2026-01-23T16:34:08Z"/>
        <d v="2026-01-23T18:16:54Z"/>
        <d v="2026-01-23T18:28:31Z"/>
        <d v="2026-01-23T19:55:52Z"/>
        <d v="2026-01-23T20:07:49Z"/>
        <d v="2026-01-23T20:11:01Z"/>
        <d v="2026-01-23T21:21:54Z"/>
        <d v="2026-01-23T21:37:53Z"/>
        <d v="2026-01-23T22:00:12Z"/>
        <d v="2026-01-23T22:38:01Z"/>
        <d v="2026-01-24T18:11:26Z"/>
        <d v="2026-01-24T21:33:05Z"/>
        <d v="2026-01-24T22:01:42Z"/>
        <d v="2026-01-24T22:07:01Z"/>
        <d v="2026-01-24T22:31:17Z"/>
        <d v="2026-01-24T22:57:15Z"/>
        <d v="2026-01-25T19:57:07Z"/>
        <d v="2026-01-25T20:09:08Z"/>
        <d v="2026-01-25T20:29:07Z"/>
        <d v="2026-01-25T21:09:53Z"/>
        <d v="2026-01-25T21:22:13Z"/>
        <d v="2026-01-25T21:28:55Z"/>
        <d v="2026-01-25T21:35:35Z"/>
        <d v="2026-01-25T21:52:23Z"/>
        <d v="2026-01-25T22:03:36Z"/>
        <d v="2026-01-25T22:19:07Z"/>
        <d v="2026-01-26T11:18:58Z"/>
        <d v="2026-01-26T11:56:04Z"/>
        <d v="2026-01-26T11:58:24Z"/>
        <d v="2026-01-26T13:29:31Z"/>
        <d v="2026-01-26T14:12:22Z"/>
        <d v="2026-01-26T15:11:21Z"/>
        <d v="2026-01-26T15:54:15Z"/>
        <d v="2026-01-26T16:01:45Z"/>
        <d v="2026-01-26T16:02:59Z"/>
        <d v="2026-01-26T16:24:11Z"/>
        <d v="2026-01-26T16:38:37Z"/>
        <d v="2026-01-26T17:15:17Z"/>
        <d v="2026-01-26T17:52:41Z"/>
        <d v="2026-01-26T19:36:45Z"/>
        <d v="2026-01-26T19:56:41Z"/>
        <d v="2026-01-26T19:58:39Z"/>
        <d v="2026-01-26T20:17:42Z"/>
        <d v="2026-01-26T21:42:25Z"/>
        <d v="2026-01-26T21:46:59Z"/>
        <d v="2026-01-26T21:53:51Z"/>
        <d v="2026-01-26T21:58:34Z"/>
        <d v="2026-01-26T22:27:34Z"/>
        <d v="2026-01-27T11:48:14Z"/>
        <d v="2026-01-27T12:19:52Z"/>
        <d v="2026-01-27T13:16:51Z"/>
        <d v="2026-01-27T13:45:16Z"/>
        <d v="2026-01-27T14:21:19Z"/>
        <d v="2026-01-27T14:34:54Z"/>
        <d v="2026-01-27T15:08:04Z"/>
        <d v="2026-01-27T15:55:49Z"/>
        <d v="2026-01-27T16:16:36Z"/>
        <d v="2026-01-27T16:23:45Z"/>
        <d v="2026-01-27T16:57:28Z"/>
        <d v="2026-01-27T18:57:20Z"/>
        <d v="2026-01-27T19:45:11Z"/>
        <d v="2026-01-27T20:32:59Z"/>
        <d v="2026-01-27T21:41:06Z"/>
        <d v="2026-01-27T21:53:52Z"/>
        <d v="2026-01-27T21:56:22Z"/>
        <d v="2026-01-27T22:17:12Z"/>
        <d v="2026-01-27T22:36:42Z"/>
        <d v="2026-01-28T11:08:20Z"/>
        <d v="2026-01-28T11:28:30Z"/>
        <d v="2026-01-28T13:22:17Z"/>
        <d v="2026-01-28T15:08:51Z"/>
        <d v="2026-01-28T16:42:28Z"/>
        <d v="2026-01-28T19:03:11Z"/>
        <d v="2026-01-28T19:32:55Z"/>
        <d v="2026-01-28T19:42:46Z"/>
        <d v="2026-01-28T20:42:29Z"/>
        <d v="2026-01-28T20:49:04Z"/>
        <d v="2026-01-28T20:51:15Z"/>
        <d v="2026-01-28T22:25:06Z"/>
        <d v="2026-01-28T22:30:43Z"/>
        <d v="2026-01-29T14:26:17Z"/>
        <d v="2026-01-29T15:04:40Z"/>
        <d v="2026-01-29T15:48:27Z"/>
        <d v="2026-01-29T18:43:28Z"/>
        <d v="2026-01-29T19:12:54Z"/>
        <d v="2026-01-29T19:22:31Z"/>
        <d v="2026-01-29T22:20:50Z"/>
        <d v="2026-01-30T12:25:40Z"/>
        <d v="2026-01-30T14:49:02Z"/>
        <d v="2026-01-30T15:39:21Z"/>
        <d v="2026-01-30T18:04:50Z"/>
        <d v="2026-01-30T18:24:40Z"/>
        <d v="2026-01-30T20:07:01Z"/>
        <d v="2026-01-30T20:16:16Z"/>
        <d v="2026-01-31T12:26:15Z"/>
        <d v="2026-01-31T12:55:31Z"/>
        <d v="2026-01-31T13:45:39Z"/>
        <d v="2026-01-31T13:48:58Z"/>
        <d v="2026-01-31T13:50:30Z"/>
        <d v="2026-01-31T14:23:35Z"/>
        <d v="2026-01-31T17:44:48Z"/>
        <d v="2026-01-31T18:32:51Z"/>
        <d v="2026-01-31T18:51:47Z"/>
        <d v="2026-01-31T18:57:25Z"/>
        <d v="2026-01-31T20:42:49Z"/>
        <d v="2026-01-31T20:56:35Z"/>
        <d v="2026-01-31T21:06:01Z"/>
        <d v="2026-01-31T21:09:33Z"/>
        <d v="2026-01-31T21:29:01Z"/>
        <d v="2026-01-31T21:32:18Z"/>
        <d v="2026-01-31T22:11:06Z"/>
        <d v="2026-01-31T22:25:11Z"/>
        <m/>
      </sharedItems>
    </cacheField>
    <cacheField name="order_date" numFmtId="165">
      <sharedItems containsDate="1" containsString="0" containsBlank="1"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  <d v="2026-01-01T00:00:00Z"/>
        <d v="2026-01-02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5T00:00:00Z"/>
        <d v="2026-01-16T00:00:00Z"/>
        <d v="2026-01-17T00:00:00Z"/>
        <d v="2026-01-18T00:00:00Z"/>
        <d v="2026-01-19T00:00:00Z"/>
        <d v="2026-01-20T00:00:00Z"/>
        <d v="2026-01-21T00:00:00Z"/>
        <d v="2026-01-22T00:00:00Z"/>
        <d v="2026-01-23T00:00:00Z"/>
        <d v="2026-01-24T00:00:00Z"/>
        <d v="2026-01-25T00:00:00Z"/>
        <d v="2026-01-26T00:00:00Z"/>
        <d v="2026-01-27T00:00:00Z"/>
        <d v="2026-01-28T00:00:00Z"/>
        <d v="2026-01-29T00:00:00Z"/>
        <d v="2026-01-30T00:00:00Z"/>
        <d v="2026-01-31T00:00:00Z"/>
        <m/>
      </sharedItems>
    </cacheField>
    <cacheField name="order_month" numFmtId="165">
      <sharedItems containsBlank="1">
        <s v="November-2025"/>
        <s v="December-2025"/>
        <s v="January-2026"/>
        <m/>
      </sharedItems>
    </cacheField>
    <cacheField name="order_hour" numFmtId="0">
      <sharedItems containsString="0" containsBlank="1" containsNumber="1" containsInteger="1">
        <n v="11.0"/>
        <n v="12.0"/>
        <n v="14.0"/>
        <n v="18.0"/>
        <n v="19.0"/>
        <n v="20.0"/>
        <n v="21.0"/>
        <n v="22.0"/>
        <n v="15.0"/>
        <n v="16.0"/>
        <n v="23.0"/>
        <n v="13.0"/>
        <n v="17.0"/>
        <m/>
      </sharedItems>
    </cacheField>
    <cacheField name="gross_amount" numFmtId="0">
      <sharedItems containsString="0" containsBlank="1" containsNumber="1" containsInteger="1">
        <n v="21900.0"/>
        <n v="46300.0"/>
        <n v="18500.0"/>
        <n v="54400.0"/>
        <n v="48500.0"/>
        <n v="22900.0"/>
        <n v="53700.0"/>
        <n v="50800.0"/>
        <n v="51700.0"/>
        <n v="52300.0"/>
        <n v="65400.0"/>
        <n v="32700.0"/>
        <n v="30500.0"/>
        <n v="50400.0"/>
        <n v="26500.0"/>
        <n v="31300.0"/>
        <n v="37700.0"/>
        <n v="16500.0"/>
        <n v="55600.0"/>
        <n v="17900.0"/>
        <n v="31800.0"/>
        <n v="34300.0"/>
        <n v="36300.0"/>
        <n v="53000.0"/>
        <n v="27900.0"/>
        <n v="23900.0"/>
        <n v="45800.0"/>
        <n v="30400.0"/>
        <n v="110200.0"/>
        <n v="51400.0"/>
        <n v="26800.0"/>
        <n v="93500.0"/>
        <n v="83700.0"/>
        <n v="37400.0"/>
        <n v="36200.0"/>
        <n v="62200.0"/>
        <n v="20700.0"/>
        <n v="48700.0"/>
        <n v="36800.0"/>
        <n v="30800.0"/>
        <n v="22500.0"/>
        <n v="33800.0"/>
        <n v="53600.0"/>
        <n v="63700.0"/>
        <n v="56700.0"/>
        <n v="40500.0"/>
        <n v="38700.0"/>
        <n v="34600.0"/>
        <n v="18400.0"/>
        <n v="49100.0"/>
        <n v="24800.0"/>
        <n v="35100.0"/>
        <n v="48400.0"/>
        <n v="160300.0"/>
        <n v="25800.0"/>
        <n v="34800.0"/>
        <n v="26400.0"/>
        <n v="47500.0"/>
        <n v="43700.0"/>
        <n v="64200.0"/>
        <n v="68300.0"/>
        <n v="53300.0"/>
        <n v="40200.0"/>
        <n v="102000.0"/>
        <n v="45000.0"/>
        <n v="41300.0"/>
        <n v="21800.0"/>
        <n v="42500.0"/>
        <n v="24600.0"/>
        <n v="25400.0"/>
        <n v="47700.0"/>
        <n v="49700.0"/>
        <n v="35800.0"/>
        <n v="36400.0"/>
        <n v="33000.0"/>
        <n v="137400.0"/>
        <n v="37600.0"/>
        <n v="33100.0"/>
        <n v="38800.0"/>
        <n v="46700.0"/>
        <n v="65100.0"/>
        <n v="31700.0"/>
        <n v="46400.0"/>
        <n v="36700.0"/>
        <n v="38600.0"/>
        <n v="118600.0"/>
        <n v="30700.0"/>
        <n v="56600.0"/>
        <n v="60200.0"/>
        <n v="51100.0"/>
        <n v="20300.0"/>
        <n v="35200.0"/>
        <n v="45100.0"/>
        <n v="123700.0"/>
        <n v="51600.0"/>
        <n v="40600.0"/>
        <n v="54100.0"/>
        <n v="87400.0"/>
        <n v="48800.0"/>
        <n v="47800.0"/>
        <n v="58600.0"/>
        <n v="16900.0"/>
        <n v="33200.0"/>
        <n v="26900.0"/>
        <n v="34100.0"/>
        <n v="42700.0"/>
        <n v="35300.0"/>
        <n v="34000.0"/>
        <n v="54300.0"/>
        <n v="35500.0"/>
        <n v="31200.0"/>
        <n v="53100.0"/>
        <n v="44000.0"/>
        <n v="156800.0"/>
        <n v="19800.0"/>
        <n v="26200.0"/>
        <n v="43800.0"/>
        <n v="36600.0"/>
        <n v="29700.0"/>
        <n v="18800.0"/>
        <n v="50700.0"/>
        <n v="65700.0"/>
        <n v="28300.0"/>
        <n v="30300.0"/>
        <n v="52800.0"/>
        <n v="33600.0"/>
        <n v="46000.0"/>
        <n v="71800.0"/>
        <n v="75000.0"/>
        <n v="57500.0"/>
        <n v="27800.0"/>
        <n v="30100.0"/>
        <n v="20400.0"/>
        <n v="56300.0"/>
        <n v="40700.0"/>
        <n v="66300.0"/>
        <n v="31600.0"/>
        <n v="45500.0"/>
        <n v="41800.0"/>
        <n v="38400.0"/>
        <n v="61100.0"/>
        <n v="45700.0"/>
        <n v="43300.0"/>
        <n v="47200.0"/>
        <n v="47300.0"/>
        <n v="32800.0"/>
        <n v="153300.0"/>
        <n v="62900.0"/>
        <n v="44400.0"/>
        <n v="69600.0"/>
        <n v="33400.0"/>
        <n v="25700.0"/>
        <n v="45600.0"/>
        <n v="92600.0"/>
        <n v="26700.0"/>
        <n v="73000.0"/>
        <n v="37000.0"/>
        <n v="57800.0"/>
        <n v="41700.0"/>
        <n v="30000.0"/>
        <n v="10900.0"/>
        <n v="25300.0"/>
        <n v="70600.0"/>
        <n v="45900.0"/>
        <n v="21700.0"/>
        <n v="60400.0"/>
        <n v="103900.0"/>
        <n v="49300.0"/>
        <n v="39200.0"/>
        <n v="29400.0"/>
        <n v="44300.0"/>
        <n v="23400.0"/>
        <n v="27500.0"/>
        <n v="39400.0"/>
        <n v="37300.0"/>
        <n v="31400.0"/>
        <n v="24400.0"/>
        <n v="39700.0"/>
        <n v="92500.0"/>
        <n v="26300.0"/>
        <n v="91600.0"/>
        <n v="68700.0"/>
        <n v="69500.0"/>
        <n v="32600.0"/>
        <n v="38300.0"/>
        <n v="28600.0"/>
        <n v="21600.0"/>
        <n v="71100.0"/>
        <n v="32300.0"/>
        <n v="43600.0"/>
        <n v="56800.0"/>
        <n v="50000.0"/>
        <n v="26000.0"/>
        <n v="73700.0"/>
        <n v="100700.0"/>
        <n v="45400.0"/>
        <n v="61500.0"/>
        <n v="76500.0"/>
        <n v="44500.0"/>
        <n v="37200.0"/>
        <n v="133300.0"/>
        <n v="41200.0"/>
        <n v="40800.0"/>
        <n v="46800.0"/>
        <n v="74600.0"/>
        <n v="24300.0"/>
        <n v="46200.0"/>
        <n v="27400.0"/>
        <n v="54800.0"/>
        <n v="58700.0"/>
        <n v="98800.0"/>
        <n v="47900.0"/>
        <n v="50900.0"/>
        <n v="73800.0"/>
        <n v="64800.0"/>
        <n v="44800.0"/>
        <n v="17700.0"/>
        <n v="41500.0"/>
        <n v="57200.0"/>
        <n v="40400.0"/>
        <n v="20800.0"/>
        <n v="55000.0"/>
        <n v="32200.0"/>
        <n v="114500.0"/>
        <n v="109000.0"/>
        <n v="41900.0"/>
        <n v="57600.0"/>
        <n v="274800.0"/>
        <n v="41000.0"/>
        <n v="28800.0"/>
        <n v="43900.0"/>
        <n v="75900.0"/>
        <n v="100100.0"/>
        <n v="41400.0"/>
        <n v="143900.0"/>
        <n v="90800.0"/>
        <n v="42100.0"/>
        <n v="50600.0"/>
        <n v="38900.0"/>
        <n v="109900.0"/>
        <n v="52900.0"/>
        <n v="54500.0"/>
        <n v="80200.0"/>
        <n v="49200.0"/>
        <n v="74400.0"/>
        <n v="21400.0"/>
        <n v="62600.0"/>
        <n v="63200.0"/>
        <n v="82000.0"/>
        <n v="34400.0"/>
        <n v="106300.0"/>
        <n v="32400.0"/>
        <n v="101500.0"/>
        <n v="119000.0"/>
        <n v="71600.0"/>
        <n v="102400.0"/>
        <n v="101200.0"/>
        <n v="64600.0"/>
        <n v="79500.0"/>
        <n v="54000.0"/>
        <n v="49400.0"/>
        <n v="36900.0"/>
        <n v="110300.0"/>
        <n v="60600.0"/>
        <n v="44200.0"/>
        <n v="55900.0"/>
        <n v="49900.0"/>
        <n v="15600.0"/>
        <n v="19700.0"/>
        <n v="22400.0"/>
        <n v="17500.0"/>
        <n v="25600.0"/>
        <n v="56000.0"/>
        <n v="20900.0"/>
        <n v="42300.0"/>
        <n v="35700.0"/>
        <n v="52700.0"/>
        <n v="28700.0"/>
        <n v="17800.0"/>
        <n v="45300.0"/>
        <n v="30600.0"/>
        <n v="63600.0"/>
        <n v="51800.0"/>
        <n v="15900.0"/>
        <n v="67400.0"/>
        <n v="23800.0"/>
        <n v="54600.0"/>
        <n v="49600.0"/>
        <n v="25900.0"/>
        <n v="45200.0"/>
        <n v="34700.0"/>
        <n v="37500.0"/>
        <n v="40900.0"/>
        <n v="41100.0"/>
        <n v="37800.0"/>
        <n v="46900.0"/>
        <n v="42600.0"/>
        <n v="51200.0"/>
        <n v="33300.0"/>
        <n v="55500.0"/>
        <n v="80700.0"/>
        <m/>
      </sharedItems>
    </cacheField>
    <cacheField name="commision_amount" numFmtId="0">
      <sharedItems containsString="0" containsBlank="1" containsNumber="1" containsInteger="1">
        <n v="4134.0"/>
        <n v="9738.0"/>
        <n v="3719.0"/>
        <n v="10792.0"/>
        <n v="10288.0"/>
        <n v="4500.0"/>
        <n v="10653.0"/>
        <n v="10078.0"/>
        <n v="10256.0"/>
        <n v="10375.0"/>
        <n v="12974.0"/>
        <n v="6338.0"/>
        <n v="5788.0"/>
        <n v="9998.0"/>
        <n v="5400.0"/>
        <n v="5988.0"/>
        <n v="9425.0"/>
        <n v="3115.0"/>
        <n v="11030.0"/>
        <n v="3379.0"/>
        <n v="6392.0"/>
        <n v="8575.0"/>
        <n v="7238.0"/>
        <n v="10514.0"/>
        <n v="5266.0"/>
        <n v="4750.0"/>
        <n v="9613.0"/>
        <n v="5738.0"/>
        <n v="6373.0"/>
        <n v="21048.0"/>
        <n v="10197.0"/>
        <n v="5475.0"/>
        <n v="4042.0"/>
        <n v="18548.0"/>
        <n v="15987.0"/>
        <n v="7513.0"/>
        <n v="7276.0"/>
        <n v="4323.0"/>
        <n v="11880.0"/>
        <n v="5725.0"/>
        <n v="5175.0"/>
        <n v="10338.0"/>
        <n v="7363.0"/>
        <n v="5863.0"/>
        <n v="4247.0"/>
        <n v="5002.0"/>
        <n v="6794.0"/>
        <n v="10633.0"/>
        <n v="6613.0"/>
        <n v="12637.0"/>
        <n v="4603.0"/>
        <n v="11248.0"/>
        <n v="8288.0"/>
        <n v="7348.0"/>
        <n v="6955.0"/>
        <n v="3473.0"/>
        <n v="10438.0"/>
        <n v="4975.0"/>
        <n v="7055.0"/>
        <n v="5970.0"/>
        <n v="10263.0"/>
        <n v="30618.0"/>
        <n v="5225.0"/>
        <n v="5375.0"/>
        <n v="9915.0"/>
        <n v="5750.0"/>
        <n v="9088.0"/>
        <n v="12736.0"/>
        <n v="8650.0"/>
        <n v="13549.0"/>
        <n v="10574.0"/>
        <n v="8213.0"/>
        <n v="9490.0"/>
        <n v="6111.0"/>
        <n v="19482.0"/>
        <n v="9413.0"/>
        <n v="16604.0"/>
        <n v="8488.0"/>
        <n v="4115.0"/>
        <n v="8665.0"/>
        <n v="4925.0"/>
        <n v="5125.0"/>
        <n v="10088.0"/>
        <n v="6123.0"/>
        <n v="10588.0"/>
        <n v="6868.0"/>
        <n v="6773.0"/>
        <n v="6413.0"/>
        <n v="4511.0"/>
        <n v="8388.0"/>
        <n v="5572.0"/>
        <n v="26244.0"/>
        <n v="6406.0"/>
        <n v="5842.0"/>
        <n v="11450.0"/>
        <n v="6638.0"/>
        <n v="6185.0"/>
        <n v="6215.0"/>
        <n v="7588.0"/>
        <n v="9838.0"/>
        <n v="9075.0"/>
        <n v="12914.0"/>
        <n v="6372.0"/>
        <n v="9763.0"/>
        <n v="6490.0"/>
        <n v="7215.0"/>
        <n v="7813.0"/>
        <n v="9100.0"/>
        <n v="22653.0"/>
        <n v="5795.0"/>
        <n v="11228.0"/>
        <n v="11942.0"/>
        <n v="10938.0"/>
        <n v="3850.0"/>
        <n v="7075.0"/>
        <n v="9438.0"/>
        <n v="23627.0"/>
        <n v="10236.0"/>
        <n v="8313.0"/>
        <n v="10732.0"/>
        <n v="17338.0"/>
        <n v="4400.0"/>
        <n v="6171.0"/>
        <n v="5975.0"/>
        <n v="6573.0"/>
        <n v="7863.0"/>
        <n v="10363.0"/>
        <n v="10113.0"/>
        <n v="11625.0"/>
        <n v="3190.0"/>
        <n v="6673.0"/>
        <n v="5500.0"/>
        <n v="8525.0"/>
        <n v="8838.0"/>
        <n v="7096.0"/>
        <n v="7275.0"/>
        <n v="10772.0"/>
        <n v="7136.0"/>
        <n v="3397.0"/>
        <n v="6271.0"/>
        <n v="10534.0"/>
        <n v="4250.0"/>
        <n v="9163.0"/>
        <n v="29949.0"/>
        <n v="3738.0"/>
        <n v="5325.0"/>
        <n v="9113.0"/>
        <n v="4402.0"/>
        <n v="7357.0"/>
        <n v="5242.0"/>
        <n v="3492.0"/>
        <n v="3549.0"/>
        <n v="10058.0"/>
        <n v="12549.0"/>
        <n v="7377.0"/>
        <n v="6091.0"/>
        <n v="5078.0"/>
        <n v="13200.0"/>
        <n v="4225.0"/>
        <n v="6754.0"/>
        <n v="9663.0"/>
        <n v="14244.0"/>
        <n v="14878.0"/>
        <n v="11407.0"/>
        <n v="7525.0"/>
        <n v="3875.0"/>
        <n v="11169.0"/>
        <n v="8338.0"/>
        <n v="13153.0"/>
        <n v="13033.0"/>
        <n v="8188.0"/>
        <n v="5384.0"/>
        <n v="5436.0"/>
        <n v="7200.0"/>
        <n v="8925.0"/>
        <n v="7388.0"/>
        <n v="8888.0"/>
        <n v="5623.0"/>
        <n v="5507.0"/>
        <n v="7150.0"/>
        <n v="8500.0"/>
        <n v="5860.0"/>
        <n v="6625.0"/>
        <n v="12213.0"/>
        <n v="10975.0"/>
        <n v="7888.0"/>
        <n v="6270.0"/>
        <n v="5595.0"/>
        <n v="8363.0"/>
        <n v="7763.0"/>
        <n v="4600.0"/>
        <n v="8738.0"/>
        <n v="9375.0"/>
        <n v="5789.0"/>
        <n v="29281.0"/>
        <n v="12663.0"/>
        <n v="8038.0"/>
        <n v="13807.0"/>
        <n v="5759.0"/>
        <n v="5900.0"/>
        <n v="4700.0"/>
        <n v="6725.0"/>
        <n v="5200.0"/>
        <n v="9563.0"/>
        <n v="18370.0"/>
        <n v="5625.0"/>
        <n v="5450.0"/>
        <n v="14482.0"/>
        <n v="7437.0"/>
        <n v="11466.0"/>
        <n v="7518.0"/>
        <n v="10425.0"/>
        <n v="5295.0"/>
        <n v="2058.0"/>
        <n v="6714.0"/>
        <n v="5100.0"/>
        <n v="14006.0"/>
        <n v="3598.0"/>
        <n v="9638.0"/>
        <n v="4200.0"/>
        <n v="6292.0"/>
        <n v="11982.0"/>
        <n v="19845.0"/>
        <n v="6895.0"/>
        <n v="7317.0"/>
        <n v="10488.0"/>
        <n v="7963.0"/>
        <n v="6125.0"/>
        <n v="9238.0"/>
        <n v="5850.0"/>
        <n v="6875.0"/>
        <n v="8013.0"/>
        <n v="7498.0"/>
        <n v="6312.0"/>
        <n v="8100.0"/>
        <n v="4875.0"/>
        <n v="8088.0"/>
        <n v="4625.0"/>
        <n v="18350.0"/>
        <n v="5350.0"/>
        <n v="18171.0"/>
        <n v="13629.0"/>
        <n v="4704.0"/>
        <n v="13787.0"/>
        <n v="6553.0"/>
        <n v="7738.0"/>
        <n v="5399.0"/>
        <n v="5650.0"/>
        <n v="4475.0"/>
        <n v="4175.0"/>
        <n v="3317.0"/>
        <n v="14105.0"/>
        <n v="6238.0"/>
        <n v="9063.0"/>
        <n v="6988.0"/>
        <n v="11268.0"/>
        <n v="6493.0"/>
        <n v="9919.0"/>
        <n v="5275.0"/>
        <n v="14620.0"/>
        <n v="12600.0"/>
        <n v="7263.0"/>
        <n v="5191.0"/>
        <n v="4417.0"/>
        <n v="6738.0"/>
        <n v="19234.0"/>
        <n v="9513.0"/>
        <n v="9390.0"/>
        <n v="12200.0"/>
        <n v="15176.0"/>
        <n v="6513.0"/>
        <n v="9288.0"/>
        <n v="7463.0"/>
        <n v="25461.0"/>
        <n v="8463.0"/>
        <n v="7290.0"/>
        <n v="9123.0"/>
        <n v="7750.0"/>
        <n v="6650.0"/>
        <n v="8638.0"/>
        <n v="7350.0"/>
        <n v="8175.0"/>
        <n v="5419.0"/>
        <n v="14799.0"/>
        <n v="6075.0"/>
        <n v="9713.0"/>
        <n v="10871.0"/>
        <n v="11645.0"/>
        <n v="7196.0"/>
        <n v="19600.0"/>
        <n v="10138.0"/>
        <n v="6370.0"/>
        <n v="10098.0"/>
        <n v="14640.0"/>
        <n v="12855.0"/>
        <n v="9363.0"/>
        <n v="3558.0"/>
        <n v="8538.0"/>
        <n v="11347.0"/>
        <n v="7050.0"/>
        <n v="8263.0"/>
        <n v="4523.0"/>
        <n v="3980.0"/>
        <n v="4181.0"/>
        <n v="10911.0"/>
        <n v="4382.0"/>
        <n v="6472.0"/>
        <n v="28625.0"/>
        <n v="20819.0"/>
        <n v="11427.0"/>
        <n v="52487.0"/>
        <n v="10250.0"/>
        <n v="9138.0"/>
        <n v="15057.0"/>
        <n v="19119.0"/>
        <n v="8513.0"/>
        <n v="27485.0"/>
        <n v="18013.0"/>
        <n v="8688.0"/>
        <n v="7288.0"/>
        <n v="10838.0"/>
        <n v="6588.0"/>
        <n v="6202.0"/>
        <n v="7188.0"/>
        <n v="9588.0"/>
        <n v="5129.0"/>
        <n v="6663.0"/>
        <n v="6100.0"/>
        <n v="8950.0"/>
        <n v="20991.0"/>
        <n v="7038.0"/>
        <n v="6863.0"/>
        <n v="10163.0"/>
        <n v="5231.0"/>
        <n v="10563.0"/>
        <n v="6325.0"/>
        <n v="6304.0"/>
        <n v="15318.0"/>
        <n v="7138.0"/>
        <n v="5691.0"/>
        <n v="12121.0"/>
        <n v="10463.0"/>
        <n v="18600.0"/>
        <n v="4302.0"/>
        <n v="9604.0"/>
        <n v="9245.0"/>
        <n v="7470.0"/>
        <n v="5059.0"/>
        <n v="8145.0"/>
        <n v="5470.0"/>
        <n v="12419.0"/>
        <n v="12538.0"/>
        <n v="16267.0"/>
        <n v="6763.0"/>
        <n v="20304.0"/>
        <n v="19387.0"/>
        <n v="22729.0"/>
        <n v="14204.0"/>
        <n v="4681.0"/>
        <n v="19559.0"/>
        <n v="19329.0"/>
        <n v="12815.0"/>
        <n v="5663.0"/>
        <n v="15771.0"/>
        <n v="10713.0"/>
        <n v="10513.0"/>
        <n v="3945.0"/>
        <n v="6407.0"/>
        <n v="4730.0"/>
        <n v="14759.0"/>
        <n v="7074.0"/>
        <n v="8000.0"/>
        <n v="5550.0"/>
        <n v="6705.0"/>
        <n v="21068.0"/>
        <n v="5848.0"/>
        <n v="7273.0"/>
        <n v="6633.0"/>
        <n v="6030.0"/>
        <n v="12022.0"/>
        <n v="3975.0"/>
        <n v="7227.0"/>
        <n v="9863.0"/>
        <n v="9213.0"/>
        <n v="11089.0"/>
        <n v="10638.0"/>
        <n v="4828.0"/>
        <n v="6950.0"/>
        <n v="3601.0"/>
        <n v="8413.0"/>
        <n v="3136.0"/>
        <n v="7954.0"/>
        <n v="9843.0"/>
        <n v="4228.0"/>
        <n v="3303.0"/>
        <n v="6836.0"/>
        <n v="5459.0"/>
        <n v="3830.0"/>
        <n v="11109.0"/>
        <n v="8613.0"/>
        <n v="8914.0"/>
        <n v="7950.0"/>
        <n v="4000.0"/>
        <n v="8493.0"/>
        <n v="6782.0"/>
        <n v="7123.0"/>
        <n v="9234.0"/>
        <n v="8123.0"/>
        <n v="6850.0"/>
        <n v="7307.0"/>
        <n v="7998.0"/>
        <n v="10455.0"/>
        <n v="6723.0"/>
        <n v="5950.0"/>
        <n v="3360.0"/>
        <n v="6450.0"/>
        <n v="8998.0"/>
        <n v="7976.0"/>
        <n v="5401.0"/>
        <n v="9148.0"/>
        <n v="12617.0"/>
        <n v="10276.0"/>
        <n v="3196.0"/>
        <n v="3001.0"/>
        <n v="13371.0"/>
        <n v="12100.0"/>
        <n v="3779.0"/>
        <n v="4725.0"/>
        <n v="10832.0"/>
        <n v="4040.0"/>
        <n v="7838.0"/>
        <n v="5250.0"/>
        <n v="9463.0"/>
        <n v="7397.0"/>
        <n v="13943.0"/>
        <n v="6348.0"/>
        <n v="7563.0"/>
        <n v="7400.0"/>
        <n v="7900.0"/>
        <n v="6113.0"/>
        <n v="7252.0"/>
        <n v="8248.0"/>
        <n v="4889.0"/>
        <n v="6475.0"/>
        <n v="8812.0"/>
        <n v="3900.0"/>
        <n v="9263.0"/>
        <n v="5418.0"/>
        <n v="6389.0"/>
        <n v="5214.0"/>
        <n v="5589.0"/>
        <n v="6788.0"/>
        <n v="6253.0"/>
        <n v="7063.0"/>
        <n v="5554.0"/>
        <n v="7163.0"/>
        <n v="6593.0"/>
        <n v="4268.0"/>
        <n v="6526.0"/>
        <n v="7213.0"/>
        <n v="5255.0"/>
        <n v="6440.0"/>
        <n v="4375.0"/>
        <n v="8663.0"/>
        <n v="7088.0"/>
        <n v="8813.0"/>
        <n v="8616.0"/>
        <n v="10950.0"/>
        <n v="3963.0"/>
        <n v="10157.0"/>
        <n v="8993.0"/>
        <n v="6694.0"/>
        <n v="6294.0"/>
        <n v="11010.0"/>
        <n v="14224.0"/>
        <n v="6284.0"/>
        <m/>
      </sharedItems>
    </cacheField>
    <cacheField name="subsidy_amount" numFmtId="0">
      <sharedItems containsString="0" containsBlank="1" containsNumber="1" containsInteger="1">
        <n v="5366.0"/>
        <n v="10350.0"/>
        <n v="3626.0"/>
        <n v="15234.0"/>
        <n v="4900.0"/>
        <n v="15090.0"/>
        <n v="14491.0"/>
        <n v="14677.0"/>
        <n v="14800.0"/>
        <n v="17506.0"/>
        <n v="7350.0"/>
        <n v="9350.0"/>
        <n v="14408.0"/>
        <n v="0.0"/>
        <n v="4043.0"/>
        <n v="15482.0"/>
        <n v="4386.0"/>
        <n v="8233.0"/>
        <n v="2000.0"/>
        <n v="14945.0"/>
        <n v="6836.0"/>
        <n v="9448.0"/>
        <n v="9211.0"/>
        <n v="35008.0"/>
        <n v="14615.0"/>
        <n v="6733.0"/>
        <n v="23308.0"/>
        <n v="23754.0"/>
        <n v="9096.0"/>
        <n v="5611.0"/>
        <n v="18680.0"/>
        <n v="5513.0"/>
        <n v="6493.0"/>
        <n v="8625.0"/>
        <n v="15069.0"/>
        <n v="17155.0"/>
        <n v="4489.0"/>
        <n v="15709.0"/>
        <n v="9310.0"/>
        <n v="8782.0"/>
        <n v="4508.0"/>
        <n v="8880.0"/>
        <n v="10820.0"/>
        <n v="45331.0"/>
        <n v="11310.0"/>
        <n v="10840.0"/>
        <n v="17258.0"/>
        <n v="18104.0"/>
        <n v="14007.0"/>
        <n v="7959.0"/>
        <n v="32572.0"/>
        <n v="21285.0"/>
        <n v="5341.0"/>
        <n v="10330.0"/>
        <n v="5856.0"/>
        <n v="15250.0"/>
        <n v="12415.0"/>
        <n v="41427.0"/>
        <n v="13976.0"/>
        <n v="11732.0"/>
        <n v="3000.0"/>
        <n v="14250.0"/>
        <n v="13562.0"/>
        <n v="9840.0"/>
        <n v="17444.0"/>
        <n v="8214.0"/>
        <n v="36990.0"/>
        <n v="9522.0"/>
        <n v="15688.0"/>
        <n v="16432.0"/>
        <n v="11350.0"/>
        <n v="8900.0"/>
        <n v="38194.0"/>
        <n v="14656.0"/>
        <n v="15172.0"/>
        <n v="22049.0"/>
        <n v="8018.0"/>
        <n v="8410.0"/>
        <n v="15101.0"/>
        <n v="4141.0"/>
        <n v="8508.0"/>
        <n v="8919.0"/>
        <n v="6900.0"/>
        <n v="15213.0"/>
        <n v="8958.0"/>
        <n v="3313.0"/>
        <n v="8116.0"/>
        <n v="14966.0"/>
        <n v="46005.0"/>
        <n v="4851.0"/>
        <n v="4293.0"/>
        <n v="9174.0"/>
        <n v="8732.0"/>
        <n v="4533.0"/>
        <n v="4606.0"/>
        <n v="14470.0"/>
        <n v="19506.0"/>
        <n v="9194.0"/>
        <n v="7939.0"/>
        <n v="6591.0"/>
        <n v="4000.0"/>
        <n v="8586.0"/>
        <n v="18827.0"/>
        <n v="19488.0"/>
        <n v="15874.0"/>
        <n v="15626.0"/>
        <n v="17691.0"/>
        <n v="17568.0"/>
        <n v="12065.0"/>
        <n v="11056.0"/>
        <n v="11800.0"/>
        <n v="12800.0"/>
        <n v="12511.0"/>
        <n v="11173.0"/>
        <n v="11761.0"/>
        <n v="16250.0"/>
        <n v="13800.0"/>
        <n v="13721.0"/>
        <n v="11320.0"/>
        <n v="14069.0"/>
        <n v="11644.0"/>
        <n v="43179.0"/>
        <n v="18373.0"/>
        <n v="12766.0"/>
        <n v="23122.0"/>
        <n v="19075.0"/>
        <n v="9252.0"/>
        <n v="15936.0"/>
        <n v="9331.0"/>
        <n v="2671.0"/>
        <n v="8547.0"/>
        <n v="18579.0"/>
        <n v="3509.0"/>
        <n v="8135.0"/>
        <n v="16473.0"/>
        <n v="33521.0"/>
        <n v="8723.0"/>
        <n v="9135.0"/>
        <n v="9311.0"/>
        <n v="8155.0"/>
        <n v="23102.0"/>
        <n v="22916.0"/>
        <n v="18187.0"/>
        <n v="4587.0"/>
        <n v="18352.0"/>
        <n v="8390.0"/>
        <n v="7007.0"/>
        <n v="3234.0"/>
        <n v="18683.0"/>
        <n v="15730.0"/>
        <n v="8331.0"/>
        <n v="14325.0"/>
        <n v="19220.0"/>
        <n v="6738.0"/>
        <n v="5733.0"/>
        <n v="32766.0"/>
        <n v="16700.0"/>
        <n v="46831.0"/>
        <n v="19798.0"/>
        <n v="39959.0"/>
        <n v="12310.0"/>
        <n v="10001.0"/>
        <n v="11026.0"/>
        <n v="19405.0"/>
        <n v="15317.0"/>
        <n v="16122.0"/>
        <n v="9017.0"/>
        <n v="24403.0"/>
        <n v="8820.0"/>
        <n v="14511.0"/>
        <n v="19240.0"/>
        <n v="17382.0"/>
        <n v="3470.0"/>
        <n v="15812.0"/>
        <n v="4410.0"/>
        <n v="3881.0"/>
        <n v="4077.0"/>
        <n v="15358.0"/>
        <n v="4273.0"/>
        <n v="8312.0"/>
        <n v="9000.0"/>
        <n v="34724.0"/>
        <n v="15895.0"/>
        <n v="73853.0"/>
        <n v="19674.0"/>
        <n v="30624.0"/>
        <n v="41961.0"/>
        <n v="22751.0"/>
        <n v="13594.0"/>
        <n v="11587.0"/>
        <n v="13403.0"/>
        <n v="11849.0"/>
        <n v="34937.0"/>
        <n v="11778.0"/>
        <n v="13785.0"/>
        <n v="22928.0"/>
        <n v="12638.0"/>
        <n v="16618.0"/>
        <n v="4195.0"/>
        <n v="17886.0"/>
        <n v="11820.0"/>
        <n v="6566.0"/>
        <n v="16927.0"/>
        <n v="6625.0"/>
        <n v="17051.0"/>
        <n v="20933.0"/>
        <n v="34087.0"/>
        <n v="8351.0"/>
        <n v="32954.0"/>
        <n v="37084.0"/>
        <n v="17786.0"/>
        <n v="6076.0"/>
        <n v="33167.0"/>
        <n v="31884.0"/>
        <n v="17340.0"/>
        <n v="20417.0"/>
        <n v="15151.0"/>
        <n v="2720.0"/>
        <n v="7675.0"/>
        <n v="7880.0"/>
        <n v="19364.0"/>
        <n v="10005.0"/>
        <n v="13808.0"/>
        <n v="7203.0"/>
        <n v="34031.0"/>
        <n v="8468.0"/>
        <n v="16514.0"/>
        <n v="9492.0"/>
        <n v="15544.0"/>
        <n v="3591.0"/>
        <n v="5998.0"/>
        <n v="3058.0"/>
        <n v="7484.0"/>
        <n v="11330.0"/>
        <n v="4827.0"/>
        <n v="5488.0"/>
        <n v="4288.0"/>
        <n v="8056.0"/>
        <n v="3764.0"/>
        <n v="6380.0"/>
        <n v="15564.0"/>
        <n v="9145.0"/>
        <n v="6675.0"/>
        <n v="6910.0"/>
        <n v="9366.0"/>
        <n v="8473.0"/>
        <n v="14883.0"/>
        <n v="4361.0"/>
        <n v="7498.0"/>
        <n v="10997.0"/>
        <n v="13134.0"/>
        <n v="14697.0"/>
        <n v="3117.0"/>
        <n v="3896.0"/>
        <n v="17919.0"/>
        <n v="3685.0"/>
        <n v="15275.0"/>
        <n v="5243.0"/>
        <n v="7213.0"/>
        <n v="21228.0"/>
        <n v="9213.0"/>
        <n v="7101.0"/>
        <n v="7394.0"/>
        <n v="6346.0"/>
        <n v="9555.0"/>
        <n v="2901.0"/>
        <n v="12129.0"/>
        <n v="13944.0"/>
        <n v="11747.0"/>
        <n v="12250.0"/>
        <n v="12447.0"/>
        <n v="12001.0"/>
        <n v="13689.0"/>
        <n v="12097.0"/>
        <n v="12384.0"/>
        <n v="8429.0"/>
        <n v="4829.0"/>
        <n v="14199.0"/>
        <n v="5880.0"/>
        <n v="14040.0"/>
        <n v="8939.0"/>
        <n v="2948.0"/>
        <n v="13573.0"/>
        <n v="8527.0"/>
        <n v="8524.0"/>
        <n v="15461.0"/>
        <n v="27807.0"/>
        <n v="7566.0"/>
        <m/>
      </sharedItems>
    </cacheField>
    <cacheField name="net_amount" numFmtId="0">
      <sharedItems containsString="0" containsBlank="1" containsNumber="1" containsInteger="1">
        <n v="12400.0"/>
        <n v="26212.0"/>
        <n v="11155.0"/>
        <n v="28374.0"/>
        <n v="27862.0"/>
        <n v="13500.0"/>
        <n v="27957.0"/>
        <n v="26231.0"/>
        <n v="26767.0"/>
        <n v="27125.0"/>
        <n v="34920.0"/>
        <n v="19012.0"/>
        <n v="15362.0"/>
        <n v="25994.0"/>
        <n v="16200.0"/>
        <n v="15962.0"/>
        <n v="28275.0"/>
        <n v="9342.0"/>
        <n v="29088.0"/>
        <n v="10135.0"/>
        <n v="17175.0"/>
        <n v="23725.0"/>
        <n v="19712.0"/>
        <n v="27541.0"/>
        <n v="15798.0"/>
        <n v="14250.0"/>
        <n v="25837.0"/>
        <n v="15214.0"/>
        <n v="17116.0"/>
        <n v="54144.0"/>
        <n v="26588.0"/>
        <n v="16425.0"/>
        <n v="12125.0"/>
        <n v="51644.0"/>
        <n v="43959.0"/>
        <n v="20537.0"/>
        <n v="19828.0"/>
        <n v="12966.0"/>
        <n v="31640.0"/>
        <n v="15525.0"/>
        <n v="28012.0"/>
        <n v="20087.0"/>
        <n v="15587.0"/>
        <n v="12740.0"/>
        <n v="15005.0"/>
        <n v="18381.0"/>
        <n v="27898.0"/>
        <n v="17837.0"/>
        <n v="33908.0"/>
        <n v="13808.0"/>
        <n v="29743.0"/>
        <n v="21862.0"/>
        <n v="22042.0"/>
        <n v="18863.0"/>
        <n v="10419.0"/>
        <n v="29312.0"/>
        <n v="14925.0"/>
        <n v="19165.0"/>
        <n v="15910.0"/>
        <n v="27787.0"/>
        <n v="84351.0"/>
        <n v="15675.0"/>
        <n v="17117.0"/>
        <n v="16125.0"/>
        <n v="26745.0"/>
        <n v="17250.0"/>
        <n v="24262.0"/>
        <n v="34206.0"/>
        <n v="25950.0"/>
        <n v="36647.0"/>
        <n v="28719.0"/>
        <n v="24637.0"/>
        <n v="25470.0"/>
        <n v="16330.0"/>
        <n v="49946.0"/>
        <n v="25237.0"/>
        <n v="45811.0"/>
        <n v="17012.0"/>
        <n v="22462.0"/>
        <n v="12344.0"/>
        <n v="22995.0"/>
        <n v="14775.0"/>
        <n v="15375.0"/>
        <n v="27262.0"/>
        <n v="16367.0"/>
        <n v="31762.0"/>
        <n v="18602.0"/>
        <n v="18317.0"/>
        <n v="17237.0"/>
        <n v="13533.0"/>
        <n v="22162.0"/>
        <n v="14713.0"/>
        <n v="69729.0"/>
        <n v="17218.0"/>
        <n v="15526.0"/>
        <n v="31350.0"/>
        <n v="17912.0"/>
        <n v="16553.0"/>
        <n v="16645.0"/>
        <n v="20762.0"/>
        <n v="26512.0"/>
        <n v="25225.0"/>
        <n v="34742.0"/>
        <n v="17114.0"/>
        <n v="26287.0"/>
        <n v="17470.0"/>
        <n v="19645.0"/>
        <n v="21437.0"/>
        <n v="25300.0"/>
        <n v="58957.0"/>
        <n v="15383.0"/>
        <n v="29684.0"/>
        <n v="31826.0"/>
        <n v="28812.0"/>
        <n v="11550.0"/>
        <n v="19225.0"/>
        <n v="25312.0"/>
        <n v="61879.0"/>
        <n v="26708.0"/>
        <n v="21937.0"/>
        <n v="28196.0"/>
        <n v="48013.0"/>
        <n v="13200.0"/>
        <n v="16511.0"/>
        <n v="17925.0"/>
        <n v="17717.0"/>
        <n v="21587.0"/>
        <n v="28087.0"/>
        <n v="27337.0"/>
        <n v="31874.0"/>
        <n v="9569.0"/>
        <n v="18019.0"/>
        <n v="16500.0"/>
        <n v="23575.0"/>
        <n v="23512.0"/>
        <n v="19285.0"/>
        <n v="19825.0"/>
        <n v="28315.0"/>
        <n v="19406.0"/>
        <n v="10190.0"/>
        <n v="16813.0"/>
        <n v="27600.0"/>
        <n v="12750.0"/>
        <n v="24487.0"/>
        <n v="80846.0"/>
        <n v="11211.0"/>
        <n v="15975.0"/>
        <n v="24337.0"/>
        <n v="13205.0"/>
        <n v="20069.0"/>
        <n v="15726.0"/>
        <n v="10475.0"/>
        <n v="10645.0"/>
        <n v="26172.0"/>
        <n v="33645.0"/>
        <n v="21225.0"/>
        <n v="20129.0"/>
        <n v="16270.0"/>
        <n v="15231.0"/>
        <n v="35600.0"/>
        <n v="12675.0"/>
        <n v="18260.0"/>
        <n v="25987.0"/>
        <n v="38729.0"/>
        <n v="40634.0"/>
        <n v="30219.0"/>
        <n v="20575.0"/>
        <n v="11625.0"/>
        <n v="29505.0"/>
        <n v="22012.0"/>
        <n v="35456.0"/>
        <n v="35099.0"/>
        <n v="21562.0"/>
        <n v="14151.0"/>
        <n v="14308.0"/>
        <n v="19600.0"/>
        <n v="23775.0"/>
        <n v="19162.0"/>
        <n v="23662.0"/>
        <n v="14866.0"/>
        <n v="14520.0"/>
        <n v="19450.0"/>
        <n v="22500.0"/>
        <n v="15579.0"/>
        <n v="17875.0"/>
        <n v="32637.0"/>
        <n v="28925.0"/>
        <n v="20662.0"/>
        <n v="16809.0"/>
        <n v="14785.0"/>
        <n v="22087.0"/>
        <n v="20287.0"/>
        <n v="13800.0"/>
        <n v="23212.0"/>
        <n v="25125.0"/>
        <n v="28898.0"/>
        <n v="15367.0"/>
        <n v="80840.0"/>
        <n v="33987.0"/>
        <n v="21112.0"/>
        <n v="37420.0"/>
        <n v="15275.0"/>
        <n v="15700.0"/>
        <n v="14100.0"/>
        <n v="18175.0"/>
        <n v="15600.0"/>
        <n v="25687.0"/>
        <n v="51108.0"/>
        <n v="16875.0"/>
        <n v="16350.0"/>
        <n v="39443.0"/>
        <n v="20311.0"/>
        <n v="30398.0"/>
        <n v="20551.0"/>
        <n v="29275.0"/>
        <n v="13885.0"/>
        <n v="6171.0"/>
        <n v="18139.0"/>
        <n v="15300.0"/>
        <n v="38015.0"/>
        <n v="10793.0"/>
        <n v="25912.0"/>
        <n v="12600.0"/>
        <n v="16873.0"/>
        <n v="31945.0"/>
        <n v="50534.0"/>
        <n v="18682.0"/>
        <n v="19948.0"/>
        <n v="28462.0"/>
        <n v="21887.0"/>
        <n v="18375.0"/>
        <n v="24712.0"/>
        <n v="17550.0"/>
        <n v="20625.0"/>
        <n v="22037.0"/>
        <n v="20491.0"/>
        <n v="16933.0"/>
        <n v="24300.0"/>
        <n v="14625.0"/>
        <n v="22262.0"/>
        <n v="13875.0"/>
        <n v="51048.0"/>
        <n v="16050.0"/>
        <n v="50513.0"/>
        <n v="36884.0"/>
        <n v="14109.0"/>
        <n v="37361.0"/>
        <n v="17657.0"/>
        <n v="21212.0"/>
        <n v="16194.0"/>
        <n v="16950.0"/>
        <n v="21287.0"/>
        <n v="13425.0"/>
        <n v="12525.0"/>
        <n v="9949.0"/>
        <n v="38312.0"/>
        <n v="16712.0"/>
        <n v="24187.0"/>
        <n v="18962.0"/>
        <n v="29802.0"/>
        <n v="17476.0"/>
        <n v="25756.0"/>
        <n v="15825.0"/>
        <n v="39860.0"/>
        <n v="33800.0"/>
        <n v="19787.0"/>
        <n v="15571.0"/>
        <n v="13250.0"/>
        <n v="18212.0"/>
        <n v="48700.0"/>
        <n v="25537.0"/>
        <n v="25170.0"/>
        <n v="32600.0"/>
        <n v="82851.0"/>
        <n v="41526.0"/>
        <n v="17537.0"/>
        <n v="24862.0"/>
        <n v="20387.0"/>
        <n v="67880.0"/>
        <n v="22387.0"/>
        <n v="19870.0"/>
        <n v="24367.0"/>
        <n v="20250.0"/>
        <n v="17950.0"/>
        <n v="21037.0"/>
        <n v="22912.0"/>
        <n v="16049.0"/>
        <n v="20050.0"/>
        <n v="22525.0"/>
        <n v="14255.0"/>
        <n v="40396.0"/>
        <n v="18225.0"/>
        <n v="26137.0"/>
        <n v="28612.0"/>
        <n v="30933.0"/>
        <n v="19587.0"/>
        <n v="54797.0"/>
        <n v="28412.0"/>
        <n v="19110.0"/>
        <n v="26291.0"/>
        <n v="39920.0"/>
        <n v="34563.0"/>
        <n v="25087.0"/>
        <n v="10672.0"/>
        <n v="25612.0"/>
        <n v="30041.0"/>
        <n v="21150.0"/>
        <n v="21787.0"/>
        <n v="13567.0"/>
        <n v="11939.0"/>
        <n v="12542.0"/>
        <n v="28731.0"/>
        <n v="13145.0"/>
        <n v="17416.0"/>
        <n v="76875.0"/>
        <n v="53457.0"/>
        <n v="30278.0"/>
        <n v="148460.0"/>
        <n v="27750.0"/>
        <n v="24412.0"/>
        <n v="41169.0"/>
        <n v="50357.0"/>
        <n v="22537.0"/>
        <n v="74454.0"/>
        <n v="50036.0"/>
        <n v="23062.0"/>
        <n v="18862.0"/>
        <n v="28512.0"/>
        <n v="17762.0"/>
        <n v="16604.0"/>
        <n v="18562.0"/>
        <n v="24762.0"/>
        <n v="13384.0"/>
        <n v="18712.0"/>
        <n v="17987.0"/>
        <n v="16297.0"/>
        <n v="19013.0"/>
        <n v="26850.0"/>
        <n v="53972.0"/>
        <n v="18112.0"/>
        <n v="18587.0"/>
        <n v="26487.0"/>
        <n v="13691.0"/>
        <n v="27687.0"/>
        <n v="18975.0"/>
        <n v="16911.0"/>
        <n v="41954.0"/>
        <n v="18412.0"/>
        <n v="15071.0"/>
        <n v="32361.0"/>
        <n v="28387.0"/>
        <n v="51800.0"/>
        <n v="12903.0"/>
        <n v="24810.0"/>
        <n v="18685.0"/>
        <n v="24735.0"/>
        <n v="20410.0"/>
        <n v="15175.0"/>
        <n v="21435.0"/>
        <n v="14410.0"/>
        <n v="33254.0"/>
        <n v="17910.0"/>
        <n v="20381.0"/>
        <n v="33611.0"/>
        <n v="44800.0"/>
        <n v="51909.0"/>
        <n v="17536.0"/>
        <n v="49159.0"/>
        <n v="59187.0"/>
        <n v="39610.0"/>
        <n v="14043.0"/>
        <n v="49674.0"/>
        <n v="49987.0"/>
        <n v="34445.0"/>
        <n v="14987.0"/>
        <n v="43312.0"/>
        <n v="28136.0"/>
        <n v="28537.0"/>
        <n v="11835.0"/>
        <n v="14190.0"/>
        <n v="40277.0"/>
        <n v="19221.0"/>
        <n v="26594.0"/>
        <n v="24000.0"/>
        <n v="16647.0"/>
        <n v="18115.0"/>
        <n v="55201.0"/>
        <n v="15542.0"/>
        <n v="21817.0"/>
        <n v="17899.0"/>
        <n v="16090.0"/>
        <n v="32064.0"/>
        <n v="11925.0"/>
        <n v="19681.0"/>
        <n v="26587.0"/>
        <n v="29267.0"/>
        <n v="28912.0"/>
        <n v="14481.0"/>
        <n v="18850.0"/>
        <n v="10801.0"/>
        <n v="22237.0"/>
        <n v="9406.0"/>
        <n v="26527.0"/>
        <n v="11154.0"/>
        <n v="12684.0"/>
        <n v="9909.0"/>
        <n v="18508.0"/>
        <n v="16377.0"/>
        <n v="11490.0"/>
        <n v="29327.0"/>
        <n v="22837.0"/>
        <n v="23741.0"/>
        <n v="21850.0"/>
        <n v="12000.0"/>
        <n v="22477.0"/>
        <n v="18343.0"/>
        <n v="19367.0"/>
        <n v="24700.0"/>
        <n v="21367.0"/>
        <n v="18550.0"/>
        <n v="19920.0"/>
        <n v="20992.0"/>
        <n v="27362.0"/>
        <n v="18167.0"/>
        <n v="17850.0"/>
        <n v="10079.0"/>
        <n v="17350.0"/>
        <n v="23992.0"/>
        <n v="21926.0"/>
        <n v="14202.0"/>
        <n v="24442.0"/>
        <n v="37849.0"/>
        <n v="26827.0"/>
        <n v="9587.0"/>
        <n v="9003.0"/>
        <n v="36110.0"/>
        <n v="33300.0"/>
        <n v="11336.0"/>
        <n v="14175.0"/>
        <n v="28493.0"/>
        <n v="12117.0"/>
        <n v="28687.0"/>
        <n v="21512.0"/>
        <n v="15750.0"/>
        <n v="25387.0"/>
        <n v="22190.0"/>
        <n v="37829.0"/>
        <n v="17042.0"/>
        <n v="20190.0"/>
        <n v="20687.0"/>
        <n v="20199.0"/>
        <n v="21700.0"/>
        <n v="18337.0"/>
        <n v="19754.0"/>
        <n v="21742.0"/>
        <n v="14665.0"/>
        <n v="19425.0"/>
        <n v="23433.0"/>
        <n v="11699.0"/>
        <n v="24787.0"/>
        <n v="14253.0"/>
        <n v="17167.0"/>
        <n v="13639.0"/>
        <n v="14764.0"/>
        <n v="14049.0"/>
        <n v="18362.0"/>
        <n v="16758.0"/>
        <n v="18187.0"/>
        <n v="14662.0"/>
        <n v="18487.0"/>
        <n v="17778.0"/>
        <n v="12803.0"/>
        <n v="17575.0"/>
        <n v="18637.0"/>
        <n v="15765.0"/>
        <n v="17320.0"/>
        <n v="13125.0"/>
        <n v="23987.0"/>
        <n v="18262.0"/>
        <n v="23437.0"/>
        <n v="22845.0"/>
        <n v="30850.0"/>
        <n v="11889.0"/>
        <n v="27470.0"/>
        <n v="23977.0"/>
        <n v="19875.0"/>
        <n v="18079.0"/>
        <n v="16882.0"/>
        <n v="29029.0"/>
        <n v="38669.0"/>
        <n v="28762.0"/>
        <n v="1685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hourly" cacheId="0" dataCaption="" compact="0" compactData="0">
  <location ref="A1:C16" firstHeaderRow="0" firstDataRow="2" firstDataCol="0"/>
  <pivotFields>
    <pivotField name="platform" compact="0" outline="0" multipleItemSelectionAllowed="1" showAll="0">
      <items>
        <item x="0"/>
        <item x="1"/>
        <item t="default"/>
      </items>
    </pivotField>
    <pivotField name="platform_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t="default"/>
      </items>
    </pivotField>
    <pivotField name="store_id" compact="0" outline="0" multipleItemSelectionAllowed="1" showAll="0">
      <items>
        <item x="0"/>
        <item x="1"/>
        <item t="default"/>
      </items>
    </pivotField>
    <pivotField name="order_date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order_month" compact="0" numFmtId="165" outline="0" multipleItemSelectionAllowed="1" showAll="0">
      <items>
        <item x="0"/>
        <item x="1"/>
        <item x="2"/>
        <item x="3"/>
        <item t="default"/>
      </items>
    </pivotField>
    <pivotField name="order_hour" axis="axisRow" compact="0" outline="0" multipleItemSelectionAllowed="1" showAll="0" sortType="ascending">
      <items>
        <item x="13"/>
        <item x="0"/>
        <item x="1"/>
        <item x="11"/>
        <item x="2"/>
        <item x="8"/>
        <item x="9"/>
        <item x="12"/>
        <item x="3"/>
        <item x="4"/>
        <item x="5"/>
        <item x="6"/>
        <item x="7"/>
        <item x="10"/>
        <item t="default"/>
      </items>
    </pivotField>
    <pivotField name="gross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t="default"/>
      </items>
    </pivotField>
    <pivotField name="commision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t="default"/>
      </items>
    </pivotField>
    <pivotField name="subsidy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net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t="default"/>
      </items>
    </pivotField>
  </pivotFields>
  <rowFields>
    <field x="6"/>
  </rowFields>
  <colFields>
    <field x="-2"/>
  </colFields>
  <dataFields>
    <dataField name="total_order" fld="1" subtotal="count" baseField="0"/>
    <dataField name="SUM of net_amount" fld="10" baseField="0"/>
  </dataFields>
</pivotTableDefinition>
</file>

<file path=xl/tables/table1.xml><?xml version="1.0" encoding="utf-8"?>
<table xmlns="http://schemas.openxmlformats.org/spreadsheetml/2006/main" ref="A1:B8" displayName="insight_notes" name="insight_notes" id="1">
  <tableColumns count="2">
    <tableColumn name="Section" id="1"/>
    <tableColumn name="Insight" id="2"/>
  </tableColumns>
  <tableStyleInfo name="insight_no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8.63"/>
    <col customWidth="1" min="3" max="3" width="10.0"/>
    <col customWidth="1" min="4" max="4" width="16.13"/>
    <col customWidth="1" min="5" max="5" width="12.13"/>
    <col customWidth="1" min="6" max="6" width="13.75"/>
    <col customWidth="1" min="7" max="7" width="12.38"/>
    <col customWidth="1" min="8" max="8" width="15.0"/>
    <col customWidth="1" min="9" max="9" width="19.25"/>
    <col customWidth="1" min="10" max="10" width="16.75"/>
    <col customWidth="1" min="11" max="11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2">
        <v>45962.495729166665</v>
      </c>
      <c r="E2" s="3">
        <v>45962.0</v>
      </c>
      <c r="F2" s="3" t="str">
        <f t="shared" ref="F2:F1089" si="1">TEXT(E2, "mmmm-yyyy")</f>
        <v>November-2025</v>
      </c>
      <c r="G2" s="1">
        <v>11.0</v>
      </c>
      <c r="H2" s="1">
        <v>21900.0</v>
      </c>
      <c r="I2" s="1">
        <v>4134.0</v>
      </c>
      <c r="J2" s="1">
        <v>5366.0</v>
      </c>
      <c r="K2" s="1">
        <v>12400.0</v>
      </c>
    </row>
    <row r="3">
      <c r="A3" s="1" t="s">
        <v>11</v>
      </c>
      <c r="B3" s="1" t="s">
        <v>14</v>
      </c>
      <c r="C3" s="1" t="s">
        <v>13</v>
      </c>
      <c r="D3" s="2">
        <v>45962.53922453704</v>
      </c>
      <c r="E3" s="3">
        <v>45962.0</v>
      </c>
      <c r="F3" s="3" t="str">
        <f t="shared" si="1"/>
        <v>November-2025</v>
      </c>
      <c r="G3" s="1">
        <v>12.0</v>
      </c>
      <c r="H3" s="1">
        <v>46300.0</v>
      </c>
      <c r="I3" s="1">
        <v>9738.0</v>
      </c>
      <c r="J3" s="1">
        <v>10350.0</v>
      </c>
      <c r="K3" s="1">
        <v>26212.0</v>
      </c>
    </row>
    <row r="4">
      <c r="A4" s="1" t="s">
        <v>11</v>
      </c>
      <c r="B4" s="1" t="s">
        <v>15</v>
      </c>
      <c r="C4" s="1" t="s">
        <v>13</v>
      </c>
      <c r="D4" s="2">
        <v>45962.61537037037</v>
      </c>
      <c r="E4" s="3">
        <v>45962.0</v>
      </c>
      <c r="F4" s="3" t="str">
        <f t="shared" si="1"/>
        <v>November-2025</v>
      </c>
      <c r="G4" s="1">
        <v>14.0</v>
      </c>
      <c r="H4" s="1">
        <v>18500.0</v>
      </c>
      <c r="I4" s="1">
        <v>3719.0</v>
      </c>
      <c r="J4" s="1">
        <v>3626.0</v>
      </c>
      <c r="K4" s="1">
        <v>11155.0</v>
      </c>
    </row>
    <row r="5">
      <c r="A5" s="1" t="s">
        <v>11</v>
      </c>
      <c r="B5" s="1" t="s">
        <v>16</v>
      </c>
      <c r="C5" s="1" t="s">
        <v>13</v>
      </c>
      <c r="D5" s="2">
        <v>45962.75400462963</v>
      </c>
      <c r="E5" s="3">
        <v>45962.0</v>
      </c>
      <c r="F5" s="3" t="str">
        <f t="shared" si="1"/>
        <v>November-2025</v>
      </c>
      <c r="G5" s="1">
        <v>18.0</v>
      </c>
      <c r="H5" s="1">
        <v>54400.0</v>
      </c>
      <c r="I5" s="1">
        <v>10792.0</v>
      </c>
      <c r="J5" s="1">
        <v>15234.0</v>
      </c>
      <c r="K5" s="1">
        <v>28374.0</v>
      </c>
    </row>
    <row r="6">
      <c r="A6" s="1" t="s">
        <v>11</v>
      </c>
      <c r="B6" s="1" t="s">
        <v>17</v>
      </c>
      <c r="C6" s="1" t="s">
        <v>13</v>
      </c>
      <c r="D6" s="2">
        <v>45962.77006944444</v>
      </c>
      <c r="E6" s="3">
        <v>45962.0</v>
      </c>
      <c r="F6" s="3" t="str">
        <f t="shared" si="1"/>
        <v>November-2025</v>
      </c>
      <c r="G6" s="1">
        <v>18.0</v>
      </c>
      <c r="H6" s="1">
        <v>48500.0</v>
      </c>
      <c r="I6" s="1">
        <v>10288.0</v>
      </c>
      <c r="J6" s="1">
        <v>10350.0</v>
      </c>
      <c r="K6" s="1">
        <v>27862.0</v>
      </c>
    </row>
    <row r="7">
      <c r="A7" s="1" t="s">
        <v>11</v>
      </c>
      <c r="B7" s="1" t="s">
        <v>18</v>
      </c>
      <c r="C7" s="1" t="s">
        <v>13</v>
      </c>
      <c r="D7" s="2">
        <v>45962.79929398148</v>
      </c>
      <c r="E7" s="3">
        <v>45962.0</v>
      </c>
      <c r="F7" s="3" t="str">
        <f t="shared" si="1"/>
        <v>November-2025</v>
      </c>
      <c r="G7" s="1">
        <v>19.0</v>
      </c>
      <c r="H7" s="1">
        <v>22900.0</v>
      </c>
      <c r="I7" s="1">
        <v>4500.0</v>
      </c>
      <c r="J7" s="1">
        <v>4900.0</v>
      </c>
      <c r="K7" s="1">
        <v>13500.0</v>
      </c>
    </row>
    <row r="8">
      <c r="A8" s="1" t="s">
        <v>11</v>
      </c>
      <c r="B8" s="1" t="s">
        <v>19</v>
      </c>
      <c r="C8" s="1" t="s">
        <v>13</v>
      </c>
      <c r="D8" s="2">
        <v>45962.82827546296</v>
      </c>
      <c r="E8" s="3">
        <v>45962.0</v>
      </c>
      <c r="F8" s="3" t="str">
        <f t="shared" si="1"/>
        <v>November-2025</v>
      </c>
      <c r="G8" s="1">
        <v>19.0</v>
      </c>
      <c r="H8" s="1">
        <v>22900.0</v>
      </c>
      <c r="I8" s="1">
        <v>4500.0</v>
      </c>
      <c r="J8" s="1">
        <v>4900.0</v>
      </c>
      <c r="K8" s="1">
        <v>13500.0</v>
      </c>
    </row>
    <row r="9">
      <c r="A9" s="1" t="s">
        <v>11</v>
      </c>
      <c r="B9" s="1" t="s">
        <v>20</v>
      </c>
      <c r="C9" s="1" t="s">
        <v>13</v>
      </c>
      <c r="D9" s="2">
        <v>45962.86351851852</v>
      </c>
      <c r="E9" s="3">
        <v>45962.0</v>
      </c>
      <c r="F9" s="3" t="str">
        <f t="shared" si="1"/>
        <v>November-2025</v>
      </c>
      <c r="G9" s="1">
        <v>20.0</v>
      </c>
      <c r="H9" s="1">
        <v>53700.0</v>
      </c>
      <c r="I9" s="1">
        <v>10653.0</v>
      </c>
      <c r="J9" s="1">
        <v>15090.0</v>
      </c>
      <c r="K9" s="1">
        <v>27957.0</v>
      </c>
    </row>
    <row r="10">
      <c r="A10" s="1" t="s">
        <v>11</v>
      </c>
      <c r="B10" s="1" t="s">
        <v>21</v>
      </c>
      <c r="C10" s="1" t="s">
        <v>13</v>
      </c>
      <c r="D10" s="2">
        <v>45962.86813657408</v>
      </c>
      <c r="E10" s="3">
        <v>45962.0</v>
      </c>
      <c r="F10" s="3" t="str">
        <f t="shared" si="1"/>
        <v>November-2025</v>
      </c>
      <c r="G10" s="1">
        <v>20.0</v>
      </c>
      <c r="H10" s="1">
        <v>50800.0</v>
      </c>
      <c r="I10" s="1">
        <v>10078.0</v>
      </c>
      <c r="J10" s="1">
        <v>14491.0</v>
      </c>
      <c r="K10" s="1">
        <v>26231.0</v>
      </c>
    </row>
    <row r="11">
      <c r="A11" s="1" t="s">
        <v>11</v>
      </c>
      <c r="B11" s="1" t="s">
        <v>22</v>
      </c>
      <c r="C11" s="1" t="s">
        <v>13</v>
      </c>
      <c r="D11" s="2">
        <v>45962.910405092596</v>
      </c>
      <c r="E11" s="3">
        <v>45962.0</v>
      </c>
      <c r="F11" s="3" t="str">
        <f t="shared" si="1"/>
        <v>November-2025</v>
      </c>
      <c r="G11" s="1">
        <v>21.0</v>
      </c>
      <c r="H11" s="1">
        <v>51700.0</v>
      </c>
      <c r="I11" s="1">
        <v>10256.0</v>
      </c>
      <c r="J11" s="1">
        <v>14677.0</v>
      </c>
      <c r="K11" s="1">
        <v>26767.0</v>
      </c>
    </row>
    <row r="12">
      <c r="A12" s="1" t="s">
        <v>11</v>
      </c>
      <c r="B12" s="1" t="s">
        <v>23</v>
      </c>
      <c r="C12" s="1" t="s">
        <v>13</v>
      </c>
      <c r="D12" s="2">
        <v>45962.92327546296</v>
      </c>
      <c r="E12" s="3">
        <v>45962.0</v>
      </c>
      <c r="F12" s="3" t="str">
        <f t="shared" si="1"/>
        <v>November-2025</v>
      </c>
      <c r="G12" s="1">
        <v>22.0</v>
      </c>
      <c r="H12" s="1">
        <v>52300.0</v>
      </c>
      <c r="I12" s="1">
        <v>10375.0</v>
      </c>
      <c r="J12" s="1">
        <v>14800.0</v>
      </c>
      <c r="K12" s="1">
        <v>27125.0</v>
      </c>
    </row>
    <row r="13">
      <c r="A13" s="1" t="s">
        <v>11</v>
      </c>
      <c r="B13" s="1" t="s">
        <v>24</v>
      </c>
      <c r="C13" s="1" t="s">
        <v>13</v>
      </c>
      <c r="D13" s="2">
        <v>45963.490648148145</v>
      </c>
      <c r="E13" s="3">
        <v>45963.0</v>
      </c>
      <c r="F13" s="3" t="str">
        <f t="shared" si="1"/>
        <v>November-2025</v>
      </c>
      <c r="G13" s="1">
        <v>11.0</v>
      </c>
      <c r="H13" s="1">
        <v>65400.0</v>
      </c>
      <c r="I13" s="1">
        <v>12974.0</v>
      </c>
      <c r="J13" s="1">
        <v>17506.0</v>
      </c>
      <c r="K13" s="1">
        <v>34920.0</v>
      </c>
    </row>
    <row r="14">
      <c r="A14" s="1" t="s">
        <v>11</v>
      </c>
      <c r="B14" s="1" t="s">
        <v>25</v>
      </c>
      <c r="C14" s="1" t="s">
        <v>13</v>
      </c>
      <c r="D14" s="2">
        <v>45963.49784722222</v>
      </c>
      <c r="E14" s="3">
        <v>45963.0</v>
      </c>
      <c r="F14" s="3" t="str">
        <f t="shared" si="1"/>
        <v>November-2025</v>
      </c>
      <c r="G14" s="1">
        <v>11.0</v>
      </c>
      <c r="H14" s="1">
        <v>32700.0</v>
      </c>
      <c r="I14" s="1">
        <v>6338.0</v>
      </c>
      <c r="J14" s="1">
        <v>7350.0</v>
      </c>
      <c r="K14" s="1">
        <v>19012.0</v>
      </c>
    </row>
    <row r="15">
      <c r="A15" s="1" t="s">
        <v>11</v>
      </c>
      <c r="B15" s="1" t="s">
        <v>26</v>
      </c>
      <c r="C15" s="1" t="s">
        <v>13</v>
      </c>
      <c r="D15" s="2">
        <v>45963.534780092596</v>
      </c>
      <c r="E15" s="3">
        <v>45963.0</v>
      </c>
      <c r="F15" s="3" t="str">
        <f t="shared" si="1"/>
        <v>November-2025</v>
      </c>
      <c r="G15" s="1">
        <v>12.0</v>
      </c>
      <c r="H15" s="1">
        <v>30500.0</v>
      </c>
      <c r="I15" s="1">
        <v>5788.0</v>
      </c>
      <c r="J15" s="1">
        <v>9350.0</v>
      </c>
      <c r="K15" s="1">
        <v>15362.0</v>
      </c>
    </row>
    <row r="16">
      <c r="A16" s="1" t="s">
        <v>11</v>
      </c>
      <c r="B16" s="1" t="s">
        <v>27</v>
      </c>
      <c r="C16" s="1" t="s">
        <v>13</v>
      </c>
      <c r="D16" s="2">
        <v>45963.58758101852</v>
      </c>
      <c r="E16" s="3">
        <v>45963.0</v>
      </c>
      <c r="F16" s="3" t="str">
        <f t="shared" si="1"/>
        <v>November-2025</v>
      </c>
      <c r="G16" s="1">
        <v>14.0</v>
      </c>
      <c r="H16" s="1">
        <v>50400.0</v>
      </c>
      <c r="I16" s="1">
        <v>9998.0</v>
      </c>
      <c r="J16" s="1">
        <v>14408.0</v>
      </c>
      <c r="K16" s="1">
        <v>25994.0</v>
      </c>
    </row>
    <row r="17">
      <c r="A17" s="1" t="s">
        <v>11</v>
      </c>
      <c r="B17" s="1" t="s">
        <v>28</v>
      </c>
      <c r="C17" s="1" t="s">
        <v>13</v>
      </c>
      <c r="D17" s="2">
        <v>45963.63282407408</v>
      </c>
      <c r="E17" s="3">
        <v>45963.0</v>
      </c>
      <c r="F17" s="3" t="str">
        <f t="shared" si="1"/>
        <v>November-2025</v>
      </c>
      <c r="G17" s="1">
        <v>15.0</v>
      </c>
      <c r="H17" s="1">
        <v>26500.0</v>
      </c>
      <c r="I17" s="1">
        <v>5400.0</v>
      </c>
      <c r="J17" s="1">
        <v>4900.0</v>
      </c>
      <c r="K17" s="1">
        <v>16200.0</v>
      </c>
    </row>
    <row r="18">
      <c r="A18" s="1" t="s">
        <v>11</v>
      </c>
      <c r="B18" s="1" t="s">
        <v>29</v>
      </c>
      <c r="C18" s="1" t="s">
        <v>13</v>
      </c>
      <c r="D18" s="2">
        <v>45963.66637731482</v>
      </c>
      <c r="E18" s="3">
        <v>45963.0</v>
      </c>
      <c r="F18" s="3" t="str">
        <f t="shared" si="1"/>
        <v>November-2025</v>
      </c>
      <c r="G18" s="1">
        <v>15.0</v>
      </c>
      <c r="H18" s="1">
        <v>31300.0</v>
      </c>
      <c r="I18" s="1">
        <v>5988.0</v>
      </c>
      <c r="J18" s="1">
        <v>9350.0</v>
      </c>
      <c r="K18" s="1">
        <v>15962.0</v>
      </c>
    </row>
    <row r="19">
      <c r="A19" s="1" t="s">
        <v>11</v>
      </c>
      <c r="B19" s="1" t="s">
        <v>30</v>
      </c>
      <c r="C19" s="1" t="s">
        <v>13</v>
      </c>
      <c r="D19" s="2">
        <v>45963.69414351852</v>
      </c>
      <c r="E19" s="3">
        <v>45963.0</v>
      </c>
      <c r="F19" s="3" t="str">
        <f t="shared" si="1"/>
        <v>November-2025</v>
      </c>
      <c r="G19" s="1">
        <v>16.0</v>
      </c>
      <c r="H19" s="1">
        <v>37700.0</v>
      </c>
      <c r="I19" s="1">
        <v>9425.0</v>
      </c>
      <c r="J19" s="1">
        <v>0.0</v>
      </c>
      <c r="K19" s="1">
        <v>28275.0</v>
      </c>
    </row>
    <row r="20">
      <c r="A20" s="1" t="s">
        <v>11</v>
      </c>
      <c r="B20" s="1" t="s">
        <v>31</v>
      </c>
      <c r="C20" s="1" t="s">
        <v>13</v>
      </c>
      <c r="D20" s="2">
        <v>45963.757210648146</v>
      </c>
      <c r="E20" s="3">
        <v>45963.0</v>
      </c>
      <c r="F20" s="3" t="str">
        <f t="shared" si="1"/>
        <v>November-2025</v>
      </c>
      <c r="G20" s="1">
        <v>18.0</v>
      </c>
      <c r="H20" s="1">
        <v>16500.0</v>
      </c>
      <c r="I20" s="1">
        <v>3115.0</v>
      </c>
      <c r="J20" s="1">
        <v>4043.0</v>
      </c>
      <c r="K20" s="1">
        <v>9342.0</v>
      </c>
    </row>
    <row r="21">
      <c r="A21" s="1" t="s">
        <v>11</v>
      </c>
      <c r="B21" s="1" t="s">
        <v>32</v>
      </c>
      <c r="C21" s="1" t="s">
        <v>13</v>
      </c>
      <c r="D21" s="2">
        <v>45963.90991898148</v>
      </c>
      <c r="E21" s="3">
        <v>45963.0</v>
      </c>
      <c r="F21" s="3" t="str">
        <f t="shared" si="1"/>
        <v>November-2025</v>
      </c>
      <c r="G21" s="1">
        <v>21.0</v>
      </c>
      <c r="H21" s="1">
        <v>55600.0</v>
      </c>
      <c r="I21" s="1">
        <v>11030.0</v>
      </c>
      <c r="J21" s="1">
        <v>15482.0</v>
      </c>
      <c r="K21" s="1">
        <v>29088.0</v>
      </c>
    </row>
    <row r="22">
      <c r="A22" s="1" t="s">
        <v>11</v>
      </c>
      <c r="B22" s="1" t="s">
        <v>33</v>
      </c>
      <c r="C22" s="1" t="s">
        <v>13</v>
      </c>
      <c r="D22" s="2">
        <v>45963.91248842593</v>
      </c>
      <c r="E22" s="3">
        <v>45963.0</v>
      </c>
      <c r="F22" s="3" t="str">
        <f t="shared" si="1"/>
        <v>November-2025</v>
      </c>
      <c r="G22" s="1">
        <v>21.0</v>
      </c>
      <c r="H22" s="1">
        <v>17900.0</v>
      </c>
      <c r="I22" s="1">
        <v>3379.0</v>
      </c>
      <c r="J22" s="1">
        <v>4386.0</v>
      </c>
      <c r="K22" s="1">
        <v>10135.0</v>
      </c>
    </row>
    <row r="23">
      <c r="A23" s="1" t="s">
        <v>11</v>
      </c>
      <c r="B23" s="1" t="s">
        <v>34</v>
      </c>
      <c r="C23" s="1" t="s">
        <v>13</v>
      </c>
      <c r="D23" s="2">
        <v>45963.91966435185</v>
      </c>
      <c r="E23" s="3">
        <v>45963.0</v>
      </c>
      <c r="F23" s="3" t="str">
        <f t="shared" si="1"/>
        <v>November-2025</v>
      </c>
      <c r="G23" s="1">
        <v>22.0</v>
      </c>
      <c r="H23" s="1">
        <v>22900.0</v>
      </c>
      <c r="I23" s="1">
        <v>4500.0</v>
      </c>
      <c r="J23" s="1">
        <v>4900.0</v>
      </c>
      <c r="K23" s="1">
        <v>13500.0</v>
      </c>
    </row>
    <row r="24">
      <c r="A24" s="1" t="s">
        <v>11</v>
      </c>
      <c r="B24" s="1" t="s">
        <v>35</v>
      </c>
      <c r="C24" s="1" t="s">
        <v>13</v>
      </c>
      <c r="D24" s="2">
        <v>45963.9530787037</v>
      </c>
      <c r="E24" s="3">
        <v>45963.0</v>
      </c>
      <c r="F24" s="3" t="str">
        <f t="shared" si="1"/>
        <v>November-2025</v>
      </c>
      <c r="G24" s="1">
        <v>22.0</v>
      </c>
      <c r="H24" s="1">
        <v>31800.0</v>
      </c>
      <c r="I24" s="1">
        <v>6392.0</v>
      </c>
      <c r="J24" s="1">
        <v>8233.0</v>
      </c>
      <c r="K24" s="1">
        <v>17175.0</v>
      </c>
    </row>
    <row r="25">
      <c r="A25" s="1" t="s">
        <v>11</v>
      </c>
      <c r="B25" s="1" t="s">
        <v>36</v>
      </c>
      <c r="C25" s="1" t="s">
        <v>13</v>
      </c>
      <c r="D25" s="2">
        <v>45963.95947916667</v>
      </c>
      <c r="E25" s="3">
        <v>45963.0</v>
      </c>
      <c r="F25" s="3" t="str">
        <f t="shared" si="1"/>
        <v>November-2025</v>
      </c>
      <c r="G25" s="1">
        <v>23.0</v>
      </c>
      <c r="H25" s="1">
        <v>34300.0</v>
      </c>
      <c r="I25" s="1">
        <v>8575.0</v>
      </c>
      <c r="J25" s="1">
        <v>2000.0</v>
      </c>
      <c r="K25" s="1">
        <v>23725.0</v>
      </c>
    </row>
    <row r="26">
      <c r="A26" s="1" t="s">
        <v>11</v>
      </c>
      <c r="B26" s="1" t="s">
        <v>37</v>
      </c>
      <c r="C26" s="1" t="s">
        <v>13</v>
      </c>
      <c r="D26" s="2">
        <v>45963.967835648145</v>
      </c>
      <c r="E26" s="3">
        <v>45963.0</v>
      </c>
      <c r="F26" s="3" t="str">
        <f t="shared" si="1"/>
        <v>November-2025</v>
      </c>
      <c r="G26" s="1">
        <v>23.0</v>
      </c>
      <c r="H26" s="1">
        <v>36300.0</v>
      </c>
      <c r="I26" s="1">
        <v>7238.0</v>
      </c>
      <c r="J26" s="1">
        <v>9350.0</v>
      </c>
      <c r="K26" s="1">
        <v>19712.0</v>
      </c>
    </row>
    <row r="27">
      <c r="A27" s="1" t="s">
        <v>11</v>
      </c>
      <c r="B27" s="1" t="s">
        <v>38</v>
      </c>
      <c r="C27" s="1" t="s">
        <v>13</v>
      </c>
      <c r="D27" s="2">
        <v>45964.480532407404</v>
      </c>
      <c r="E27" s="3">
        <v>45964.0</v>
      </c>
      <c r="F27" s="3" t="str">
        <f t="shared" si="1"/>
        <v>November-2025</v>
      </c>
      <c r="G27" s="1">
        <v>11.0</v>
      </c>
      <c r="H27" s="1">
        <v>22900.0</v>
      </c>
      <c r="I27" s="1">
        <v>4500.0</v>
      </c>
      <c r="J27" s="1">
        <v>4900.0</v>
      </c>
      <c r="K27" s="1">
        <v>13500.0</v>
      </c>
    </row>
    <row r="28">
      <c r="A28" s="1" t="s">
        <v>11</v>
      </c>
      <c r="B28" s="1" t="s">
        <v>39</v>
      </c>
      <c r="C28" s="1" t="s">
        <v>13</v>
      </c>
      <c r="D28" s="2">
        <v>45964.554189814815</v>
      </c>
      <c r="E28" s="3">
        <v>45964.0</v>
      </c>
      <c r="F28" s="3" t="str">
        <f t="shared" si="1"/>
        <v>November-2025</v>
      </c>
      <c r="G28" s="1">
        <v>13.0</v>
      </c>
      <c r="H28" s="1">
        <v>53000.0</v>
      </c>
      <c r="I28" s="1">
        <v>10514.0</v>
      </c>
      <c r="J28" s="1">
        <v>14945.0</v>
      </c>
      <c r="K28" s="1">
        <v>27541.0</v>
      </c>
    </row>
    <row r="29">
      <c r="A29" s="1" t="s">
        <v>11</v>
      </c>
      <c r="B29" s="1" t="s">
        <v>40</v>
      </c>
      <c r="C29" s="1" t="s">
        <v>13</v>
      </c>
      <c r="D29" s="2">
        <v>45964.566458333335</v>
      </c>
      <c r="E29" s="3">
        <v>45964.0</v>
      </c>
      <c r="F29" s="3" t="str">
        <f t="shared" si="1"/>
        <v>November-2025</v>
      </c>
      <c r="G29" s="1">
        <v>13.0</v>
      </c>
      <c r="H29" s="1">
        <v>27900.0</v>
      </c>
      <c r="I29" s="1">
        <v>5266.0</v>
      </c>
      <c r="J29" s="1">
        <v>6836.0</v>
      </c>
      <c r="K29" s="1">
        <v>15798.0</v>
      </c>
    </row>
    <row r="30">
      <c r="A30" s="1" t="s">
        <v>11</v>
      </c>
      <c r="B30" s="1" t="s">
        <v>41</v>
      </c>
      <c r="C30" s="1" t="s">
        <v>13</v>
      </c>
      <c r="D30" s="2">
        <v>45964.59574074074</v>
      </c>
      <c r="E30" s="3">
        <v>45964.0</v>
      </c>
      <c r="F30" s="3" t="str">
        <f t="shared" si="1"/>
        <v>November-2025</v>
      </c>
      <c r="G30" s="1">
        <v>14.0</v>
      </c>
      <c r="H30" s="1">
        <v>23900.0</v>
      </c>
      <c r="I30" s="1">
        <v>4750.0</v>
      </c>
      <c r="J30" s="1">
        <v>4900.0</v>
      </c>
      <c r="K30" s="1">
        <v>14250.0</v>
      </c>
    </row>
    <row r="31">
      <c r="A31" s="1" t="s">
        <v>11</v>
      </c>
      <c r="B31" s="1" t="s">
        <v>42</v>
      </c>
      <c r="C31" s="1" t="s">
        <v>13</v>
      </c>
      <c r="D31" s="2">
        <v>45964.77322916667</v>
      </c>
      <c r="E31" s="3">
        <v>45964.0</v>
      </c>
      <c r="F31" s="3" t="str">
        <f t="shared" si="1"/>
        <v>November-2025</v>
      </c>
      <c r="G31" s="1">
        <v>18.0</v>
      </c>
      <c r="H31" s="1">
        <v>45800.0</v>
      </c>
      <c r="I31" s="1">
        <v>9613.0</v>
      </c>
      <c r="J31" s="1">
        <v>10350.0</v>
      </c>
      <c r="K31" s="1">
        <v>25837.0</v>
      </c>
    </row>
    <row r="32">
      <c r="A32" s="1" t="s">
        <v>11</v>
      </c>
      <c r="B32" s="1" t="s">
        <v>43</v>
      </c>
      <c r="C32" s="1" t="s">
        <v>13</v>
      </c>
      <c r="D32" s="2">
        <v>45964.779398148145</v>
      </c>
      <c r="E32" s="3">
        <v>45964.0</v>
      </c>
      <c r="F32" s="3" t="str">
        <f t="shared" si="1"/>
        <v>November-2025</v>
      </c>
      <c r="G32" s="1">
        <v>18.0</v>
      </c>
      <c r="H32" s="1">
        <v>30400.0</v>
      </c>
      <c r="I32" s="1">
        <v>5738.0</v>
      </c>
      <c r="J32" s="1">
        <v>9448.0</v>
      </c>
      <c r="K32" s="1">
        <v>15214.0</v>
      </c>
    </row>
    <row r="33">
      <c r="A33" s="1" t="s">
        <v>11</v>
      </c>
      <c r="B33" s="1" t="s">
        <v>44</v>
      </c>
      <c r="C33" s="1" t="s">
        <v>13</v>
      </c>
      <c r="D33" s="2">
        <v>45964.86582175926</v>
      </c>
      <c r="E33" s="3">
        <v>45964.0</v>
      </c>
      <c r="F33" s="3" t="str">
        <f t="shared" si="1"/>
        <v>November-2025</v>
      </c>
      <c r="G33" s="1">
        <v>20.0</v>
      </c>
      <c r="H33" s="1">
        <v>32700.0</v>
      </c>
      <c r="I33" s="1">
        <v>6373.0</v>
      </c>
      <c r="J33" s="1">
        <v>9211.0</v>
      </c>
      <c r="K33" s="1">
        <v>17116.0</v>
      </c>
    </row>
    <row r="34">
      <c r="A34" s="1" t="s">
        <v>11</v>
      </c>
      <c r="B34" s="1" t="s">
        <v>45</v>
      </c>
      <c r="C34" s="1" t="s">
        <v>13</v>
      </c>
      <c r="D34" s="2">
        <v>45964.910891203705</v>
      </c>
      <c r="E34" s="3">
        <v>45964.0</v>
      </c>
      <c r="F34" s="3" t="str">
        <f t="shared" si="1"/>
        <v>November-2025</v>
      </c>
      <c r="G34" s="1">
        <v>21.0</v>
      </c>
      <c r="H34" s="1">
        <v>110200.0</v>
      </c>
      <c r="I34" s="1">
        <v>21048.0</v>
      </c>
      <c r="J34" s="1">
        <v>35008.0</v>
      </c>
      <c r="K34" s="1">
        <v>54144.0</v>
      </c>
    </row>
    <row r="35">
      <c r="A35" s="1" t="s">
        <v>11</v>
      </c>
      <c r="B35" s="1" t="s">
        <v>46</v>
      </c>
      <c r="C35" s="1" t="s">
        <v>13</v>
      </c>
      <c r="D35" s="2">
        <v>45964.92383101852</v>
      </c>
      <c r="E35" s="3">
        <v>45964.0</v>
      </c>
      <c r="F35" s="3" t="str">
        <f t="shared" si="1"/>
        <v>November-2025</v>
      </c>
      <c r="G35" s="1">
        <v>22.0</v>
      </c>
      <c r="H35" s="1">
        <v>51400.0</v>
      </c>
      <c r="I35" s="1">
        <v>10197.0</v>
      </c>
      <c r="J35" s="1">
        <v>14615.0</v>
      </c>
      <c r="K35" s="1">
        <v>26588.0</v>
      </c>
    </row>
    <row r="36">
      <c r="A36" s="1" t="s">
        <v>11</v>
      </c>
      <c r="B36" s="1" t="s">
        <v>47</v>
      </c>
      <c r="C36" s="1" t="s">
        <v>13</v>
      </c>
      <c r="D36" s="2">
        <v>45964.94608796296</v>
      </c>
      <c r="E36" s="3">
        <v>45964.0</v>
      </c>
      <c r="F36" s="3" t="str">
        <f t="shared" si="1"/>
        <v>November-2025</v>
      </c>
      <c r="G36" s="1">
        <v>22.0</v>
      </c>
      <c r="H36" s="1">
        <v>26800.0</v>
      </c>
      <c r="I36" s="1">
        <v>5475.0</v>
      </c>
      <c r="J36" s="1">
        <v>4900.0</v>
      </c>
      <c r="K36" s="1">
        <v>16425.0</v>
      </c>
    </row>
    <row r="37">
      <c r="A37" s="1" t="s">
        <v>11</v>
      </c>
      <c r="B37" s="1" t="s">
        <v>48</v>
      </c>
      <c r="C37" s="1" t="s">
        <v>13</v>
      </c>
      <c r="D37" s="2">
        <v>45964.973229166666</v>
      </c>
      <c r="E37" s="3">
        <v>45964.0</v>
      </c>
      <c r="F37" s="3" t="str">
        <f t="shared" si="1"/>
        <v>November-2025</v>
      </c>
      <c r="G37" s="1">
        <v>23.0</v>
      </c>
      <c r="H37" s="1">
        <v>22900.0</v>
      </c>
      <c r="I37" s="1">
        <v>4500.0</v>
      </c>
      <c r="J37" s="1">
        <v>4900.0</v>
      </c>
      <c r="K37" s="1">
        <v>13500.0</v>
      </c>
    </row>
    <row r="38">
      <c r="A38" s="1" t="s">
        <v>11</v>
      </c>
      <c r="B38" s="1" t="s">
        <v>49</v>
      </c>
      <c r="C38" s="1" t="s">
        <v>13</v>
      </c>
      <c r="D38" s="2">
        <v>45965.484930555554</v>
      </c>
      <c r="E38" s="3">
        <v>45965.0</v>
      </c>
      <c r="F38" s="3" t="str">
        <f t="shared" si="1"/>
        <v>November-2025</v>
      </c>
      <c r="G38" s="1">
        <v>11.0</v>
      </c>
      <c r="H38" s="1">
        <v>22900.0</v>
      </c>
      <c r="I38" s="1">
        <v>4500.0</v>
      </c>
      <c r="J38" s="1">
        <v>4900.0</v>
      </c>
      <c r="K38" s="1">
        <v>13500.0</v>
      </c>
    </row>
    <row r="39">
      <c r="A39" s="1" t="s">
        <v>11</v>
      </c>
      <c r="B39" s="1" t="s">
        <v>50</v>
      </c>
      <c r="C39" s="1" t="s">
        <v>13</v>
      </c>
      <c r="D39" s="2">
        <v>45965.527025462965</v>
      </c>
      <c r="E39" s="3">
        <v>45965.0</v>
      </c>
      <c r="F39" s="3" t="str">
        <f t="shared" si="1"/>
        <v>November-2025</v>
      </c>
      <c r="G39" s="1">
        <v>12.0</v>
      </c>
      <c r="H39" s="1">
        <v>22900.0</v>
      </c>
      <c r="I39" s="1">
        <v>4042.0</v>
      </c>
      <c r="J39" s="1">
        <v>6733.0</v>
      </c>
      <c r="K39" s="1">
        <v>12125.0</v>
      </c>
    </row>
    <row r="40">
      <c r="A40" s="1" t="s">
        <v>11</v>
      </c>
      <c r="B40" s="1" t="s">
        <v>51</v>
      </c>
      <c r="C40" s="1" t="s">
        <v>13</v>
      </c>
      <c r="D40" s="2">
        <v>45965.57734953704</v>
      </c>
      <c r="E40" s="3">
        <v>45965.0</v>
      </c>
      <c r="F40" s="3" t="str">
        <f t="shared" si="1"/>
        <v>November-2025</v>
      </c>
      <c r="G40" s="1">
        <v>13.0</v>
      </c>
      <c r="H40" s="1">
        <v>93500.0</v>
      </c>
      <c r="I40" s="1">
        <v>18548.0</v>
      </c>
      <c r="J40" s="1">
        <v>23308.0</v>
      </c>
      <c r="K40" s="1">
        <v>51644.0</v>
      </c>
    </row>
    <row r="41">
      <c r="A41" s="1" t="s">
        <v>11</v>
      </c>
      <c r="B41" s="1" t="s">
        <v>52</v>
      </c>
      <c r="C41" s="1" t="s">
        <v>13</v>
      </c>
      <c r="D41" s="2">
        <v>45965.57917824074</v>
      </c>
      <c r="E41" s="3">
        <v>45965.0</v>
      </c>
      <c r="F41" s="3" t="str">
        <f t="shared" si="1"/>
        <v>November-2025</v>
      </c>
      <c r="G41" s="1">
        <v>13.0</v>
      </c>
      <c r="H41" s="1">
        <v>83700.0</v>
      </c>
      <c r="I41" s="1">
        <v>15987.0</v>
      </c>
      <c r="J41" s="1">
        <v>23754.0</v>
      </c>
      <c r="K41" s="1">
        <v>43959.0</v>
      </c>
    </row>
    <row r="42">
      <c r="A42" s="1" t="s">
        <v>11</v>
      </c>
      <c r="B42" s="1" t="s">
        <v>53</v>
      </c>
      <c r="C42" s="1" t="s">
        <v>13</v>
      </c>
      <c r="D42" s="2">
        <v>45965.78564814815</v>
      </c>
      <c r="E42" s="3">
        <v>45965.0</v>
      </c>
      <c r="F42" s="3" t="str">
        <f t="shared" si="1"/>
        <v>November-2025</v>
      </c>
      <c r="G42" s="1">
        <v>18.0</v>
      </c>
      <c r="H42" s="1">
        <v>37400.0</v>
      </c>
      <c r="I42" s="1">
        <v>7513.0</v>
      </c>
      <c r="J42" s="1">
        <v>9350.0</v>
      </c>
      <c r="K42" s="1">
        <v>20537.0</v>
      </c>
    </row>
    <row r="43">
      <c r="A43" s="1" t="s">
        <v>11</v>
      </c>
      <c r="B43" s="1" t="s">
        <v>54</v>
      </c>
      <c r="C43" s="1" t="s">
        <v>13</v>
      </c>
      <c r="D43" s="2">
        <v>45965.80719907407</v>
      </c>
      <c r="E43" s="3">
        <v>45965.0</v>
      </c>
      <c r="F43" s="3" t="str">
        <f t="shared" si="1"/>
        <v>November-2025</v>
      </c>
      <c r="G43" s="1">
        <v>19.0</v>
      </c>
      <c r="H43" s="1">
        <v>36200.0</v>
      </c>
      <c r="I43" s="1">
        <v>7276.0</v>
      </c>
      <c r="J43" s="1">
        <v>9096.0</v>
      </c>
      <c r="K43" s="1">
        <v>19828.0</v>
      </c>
    </row>
    <row r="44">
      <c r="A44" s="1" t="s">
        <v>11</v>
      </c>
      <c r="B44" s="1" t="s">
        <v>55</v>
      </c>
      <c r="C44" s="1" t="s">
        <v>13</v>
      </c>
      <c r="D44" s="2">
        <v>45965.84525462963</v>
      </c>
      <c r="E44" s="3">
        <v>45965.0</v>
      </c>
      <c r="F44" s="3" t="str">
        <f t="shared" si="1"/>
        <v>November-2025</v>
      </c>
      <c r="G44" s="1">
        <v>20.0</v>
      </c>
      <c r="H44" s="1">
        <v>30400.0</v>
      </c>
      <c r="I44" s="1">
        <v>5738.0</v>
      </c>
      <c r="J44" s="1">
        <v>9448.0</v>
      </c>
      <c r="K44" s="1">
        <v>15214.0</v>
      </c>
    </row>
    <row r="45">
      <c r="A45" s="1" t="s">
        <v>11</v>
      </c>
      <c r="B45" s="1" t="s">
        <v>56</v>
      </c>
      <c r="C45" s="1" t="s">
        <v>13</v>
      </c>
      <c r="D45" s="2">
        <v>45965.86280092593</v>
      </c>
      <c r="E45" s="3">
        <v>45965.0</v>
      </c>
      <c r="F45" s="3" t="str">
        <f t="shared" si="1"/>
        <v>November-2025</v>
      </c>
      <c r="G45" s="1">
        <v>20.0</v>
      </c>
      <c r="H45" s="1">
        <v>22900.0</v>
      </c>
      <c r="I45" s="1">
        <v>4323.0</v>
      </c>
      <c r="J45" s="1">
        <v>5611.0</v>
      </c>
      <c r="K45" s="1">
        <v>12966.0</v>
      </c>
    </row>
    <row r="46">
      <c r="A46" s="1" t="s">
        <v>11</v>
      </c>
      <c r="B46" s="1" t="s">
        <v>57</v>
      </c>
      <c r="C46" s="1" t="s">
        <v>13</v>
      </c>
      <c r="D46" s="2">
        <v>45965.86924768519</v>
      </c>
      <c r="E46" s="3">
        <v>45965.0</v>
      </c>
      <c r="F46" s="3" t="str">
        <f t="shared" si="1"/>
        <v>November-2025</v>
      </c>
      <c r="G46" s="1">
        <v>20.0</v>
      </c>
      <c r="H46" s="1">
        <v>62200.0</v>
      </c>
      <c r="I46" s="1">
        <v>11880.0</v>
      </c>
      <c r="J46" s="1">
        <v>18680.0</v>
      </c>
      <c r="K46" s="1">
        <v>31640.0</v>
      </c>
    </row>
    <row r="47">
      <c r="A47" s="1" t="s">
        <v>11</v>
      </c>
      <c r="B47" s="1" t="s">
        <v>58</v>
      </c>
      <c r="C47" s="1" t="s">
        <v>13</v>
      </c>
      <c r="D47" s="2">
        <v>45965.88340277778</v>
      </c>
      <c r="E47" s="3">
        <v>45965.0</v>
      </c>
      <c r="F47" s="3" t="str">
        <f t="shared" si="1"/>
        <v>November-2025</v>
      </c>
      <c r="G47" s="1">
        <v>21.0</v>
      </c>
      <c r="H47" s="1">
        <v>22900.0</v>
      </c>
      <c r="I47" s="1">
        <v>5725.0</v>
      </c>
      <c r="J47" s="1">
        <v>0.0</v>
      </c>
      <c r="K47" s="1">
        <v>17175.0</v>
      </c>
    </row>
    <row r="48">
      <c r="A48" s="1" t="s">
        <v>11</v>
      </c>
      <c r="B48" s="1" t="s">
        <v>59</v>
      </c>
      <c r="C48" s="1" t="s">
        <v>13</v>
      </c>
      <c r="D48" s="2">
        <v>45965.94278935185</v>
      </c>
      <c r="E48" s="3">
        <v>45965.0</v>
      </c>
      <c r="F48" s="3" t="str">
        <f t="shared" si="1"/>
        <v>November-2025</v>
      </c>
      <c r="G48" s="1">
        <v>22.0</v>
      </c>
      <c r="H48" s="1">
        <v>17900.0</v>
      </c>
      <c r="I48" s="1">
        <v>3379.0</v>
      </c>
      <c r="J48" s="1">
        <v>4386.0</v>
      </c>
      <c r="K48" s="1">
        <v>10135.0</v>
      </c>
    </row>
    <row r="49">
      <c r="A49" s="1" t="s">
        <v>11</v>
      </c>
      <c r="B49" s="1" t="s">
        <v>60</v>
      </c>
      <c r="C49" s="1" t="s">
        <v>13</v>
      </c>
      <c r="D49" s="2">
        <v>45965.951828703706</v>
      </c>
      <c r="E49" s="3">
        <v>45965.0</v>
      </c>
      <c r="F49" s="3" t="str">
        <f t="shared" si="1"/>
        <v>November-2025</v>
      </c>
      <c r="G49" s="1">
        <v>22.0</v>
      </c>
      <c r="H49" s="1">
        <v>20700.0</v>
      </c>
      <c r="I49" s="1">
        <v>5175.0</v>
      </c>
      <c r="J49" s="1">
        <v>0.0</v>
      </c>
      <c r="K49" s="1">
        <v>15525.0</v>
      </c>
    </row>
    <row r="50">
      <c r="A50" s="1" t="s">
        <v>11</v>
      </c>
      <c r="B50" s="1" t="s">
        <v>61</v>
      </c>
      <c r="C50" s="1" t="s">
        <v>13</v>
      </c>
      <c r="D50" s="2">
        <v>45966.48703703703</v>
      </c>
      <c r="E50" s="3">
        <v>45966.0</v>
      </c>
      <c r="F50" s="3" t="str">
        <f t="shared" si="1"/>
        <v>November-2025</v>
      </c>
      <c r="G50" s="1">
        <v>11.0</v>
      </c>
      <c r="H50" s="1">
        <v>48700.0</v>
      </c>
      <c r="I50" s="1">
        <v>10338.0</v>
      </c>
      <c r="J50" s="1">
        <v>10350.0</v>
      </c>
      <c r="K50" s="1">
        <v>28012.0</v>
      </c>
    </row>
    <row r="51">
      <c r="A51" s="1" t="s">
        <v>11</v>
      </c>
      <c r="B51" s="1" t="s">
        <v>62</v>
      </c>
      <c r="C51" s="1" t="s">
        <v>13</v>
      </c>
      <c r="D51" s="2">
        <v>45966.52836805556</v>
      </c>
      <c r="E51" s="3">
        <v>45966.0</v>
      </c>
      <c r="F51" s="3" t="str">
        <f t="shared" si="1"/>
        <v>November-2025</v>
      </c>
      <c r="G51" s="1">
        <v>12.0</v>
      </c>
      <c r="H51" s="1">
        <v>36800.0</v>
      </c>
      <c r="I51" s="1">
        <v>7363.0</v>
      </c>
      <c r="J51" s="1">
        <v>9350.0</v>
      </c>
      <c r="K51" s="1">
        <v>20087.0</v>
      </c>
    </row>
    <row r="52">
      <c r="A52" s="1" t="s">
        <v>11</v>
      </c>
      <c r="B52" s="1" t="s">
        <v>63</v>
      </c>
      <c r="C52" s="1" t="s">
        <v>13</v>
      </c>
      <c r="D52" s="2">
        <v>45966.53244212963</v>
      </c>
      <c r="E52" s="3">
        <v>45966.0</v>
      </c>
      <c r="F52" s="3" t="str">
        <f t="shared" si="1"/>
        <v>November-2025</v>
      </c>
      <c r="G52" s="1">
        <v>12.0</v>
      </c>
      <c r="H52" s="1">
        <v>30800.0</v>
      </c>
      <c r="I52" s="1">
        <v>5863.0</v>
      </c>
      <c r="J52" s="1">
        <v>9350.0</v>
      </c>
      <c r="K52" s="1">
        <v>15587.0</v>
      </c>
    </row>
    <row r="53">
      <c r="A53" s="1" t="s">
        <v>11</v>
      </c>
      <c r="B53" s="1" t="s">
        <v>64</v>
      </c>
      <c r="C53" s="1" t="s">
        <v>13</v>
      </c>
      <c r="D53" s="2">
        <v>45966.62579861111</v>
      </c>
      <c r="E53" s="3">
        <v>45966.0</v>
      </c>
      <c r="F53" s="3" t="str">
        <f t="shared" si="1"/>
        <v>November-2025</v>
      </c>
      <c r="G53" s="1">
        <v>15.0</v>
      </c>
      <c r="H53" s="1">
        <v>50800.0</v>
      </c>
      <c r="I53" s="1">
        <v>10078.0</v>
      </c>
      <c r="J53" s="1">
        <v>14491.0</v>
      </c>
      <c r="K53" s="1">
        <v>26231.0</v>
      </c>
    </row>
    <row r="54">
      <c r="A54" s="1" t="s">
        <v>11</v>
      </c>
      <c r="B54" s="1" t="s">
        <v>65</v>
      </c>
      <c r="C54" s="1" t="s">
        <v>13</v>
      </c>
      <c r="D54" s="2">
        <v>45966.626296296294</v>
      </c>
      <c r="E54" s="3">
        <v>45966.0</v>
      </c>
      <c r="F54" s="3" t="str">
        <f t="shared" si="1"/>
        <v>November-2025</v>
      </c>
      <c r="G54" s="1">
        <v>15.0</v>
      </c>
      <c r="H54" s="1">
        <v>22500.0</v>
      </c>
      <c r="I54" s="1">
        <v>4247.0</v>
      </c>
      <c r="J54" s="1">
        <v>5513.0</v>
      </c>
      <c r="K54" s="1">
        <v>12740.0</v>
      </c>
    </row>
    <row r="55">
      <c r="A55" s="1" t="s">
        <v>11</v>
      </c>
      <c r="B55" s="1" t="s">
        <v>66</v>
      </c>
      <c r="C55" s="1" t="s">
        <v>13</v>
      </c>
      <c r="D55" s="2">
        <v>45966.679756944446</v>
      </c>
      <c r="E55" s="3">
        <v>45966.0</v>
      </c>
      <c r="F55" s="3" t="str">
        <f t="shared" si="1"/>
        <v>November-2025</v>
      </c>
      <c r="G55" s="1">
        <v>16.0</v>
      </c>
      <c r="H55" s="1">
        <v>26500.0</v>
      </c>
      <c r="I55" s="1">
        <v>5002.0</v>
      </c>
      <c r="J55" s="1">
        <v>6493.0</v>
      </c>
      <c r="K55" s="1">
        <v>15005.0</v>
      </c>
    </row>
    <row r="56">
      <c r="A56" s="1" t="s">
        <v>11</v>
      </c>
      <c r="B56" s="1" t="s">
        <v>67</v>
      </c>
      <c r="C56" s="1" t="s">
        <v>13</v>
      </c>
      <c r="D56" s="2">
        <v>45966.69599537037</v>
      </c>
      <c r="E56" s="3">
        <v>45966.0</v>
      </c>
      <c r="F56" s="3" t="str">
        <f t="shared" si="1"/>
        <v>November-2025</v>
      </c>
      <c r="G56" s="1">
        <v>16.0</v>
      </c>
      <c r="H56" s="1">
        <v>33800.0</v>
      </c>
      <c r="I56" s="1">
        <v>6794.0</v>
      </c>
      <c r="J56" s="1">
        <v>8625.0</v>
      </c>
      <c r="K56" s="1">
        <v>18381.0</v>
      </c>
    </row>
    <row r="57">
      <c r="A57" s="1" t="s">
        <v>11</v>
      </c>
      <c r="B57" s="1" t="s">
        <v>68</v>
      </c>
      <c r="C57" s="1" t="s">
        <v>13</v>
      </c>
      <c r="D57" s="2">
        <v>45966.74717592593</v>
      </c>
      <c r="E57" s="3">
        <v>45966.0</v>
      </c>
      <c r="F57" s="3" t="str">
        <f t="shared" si="1"/>
        <v>November-2025</v>
      </c>
      <c r="G57" s="1">
        <v>17.0</v>
      </c>
      <c r="H57" s="1">
        <v>53600.0</v>
      </c>
      <c r="I57" s="1">
        <v>10633.0</v>
      </c>
      <c r="J57" s="1">
        <v>15069.0</v>
      </c>
      <c r="K57" s="1">
        <v>27898.0</v>
      </c>
    </row>
    <row r="58">
      <c r="A58" s="1" t="s">
        <v>11</v>
      </c>
      <c r="B58" s="1" t="s">
        <v>69</v>
      </c>
      <c r="C58" s="1" t="s">
        <v>13</v>
      </c>
      <c r="D58" s="2">
        <v>45966.76813657407</v>
      </c>
      <c r="E58" s="3">
        <v>45966.0</v>
      </c>
      <c r="F58" s="3" t="str">
        <f t="shared" si="1"/>
        <v>November-2025</v>
      </c>
      <c r="G58" s="1">
        <v>18.0</v>
      </c>
      <c r="H58" s="1">
        <v>33800.0</v>
      </c>
      <c r="I58" s="1">
        <v>6613.0</v>
      </c>
      <c r="J58" s="1">
        <v>9350.0</v>
      </c>
      <c r="K58" s="1">
        <v>17837.0</v>
      </c>
    </row>
    <row r="59">
      <c r="A59" s="1" t="s">
        <v>11</v>
      </c>
      <c r="B59" s="1" t="s">
        <v>70</v>
      </c>
      <c r="C59" s="1" t="s">
        <v>13</v>
      </c>
      <c r="D59" s="2">
        <v>45966.82990740741</v>
      </c>
      <c r="E59" s="3">
        <v>45966.0</v>
      </c>
      <c r="F59" s="3" t="str">
        <f t="shared" si="1"/>
        <v>November-2025</v>
      </c>
      <c r="G59" s="1">
        <v>19.0</v>
      </c>
      <c r="H59" s="1">
        <v>63700.0</v>
      </c>
      <c r="I59" s="1">
        <v>12637.0</v>
      </c>
      <c r="J59" s="1">
        <v>17155.0</v>
      </c>
      <c r="K59" s="1">
        <v>33908.0</v>
      </c>
    </row>
    <row r="60">
      <c r="A60" s="1" t="s">
        <v>11</v>
      </c>
      <c r="B60" s="1" t="s">
        <v>71</v>
      </c>
      <c r="C60" s="1" t="s">
        <v>13</v>
      </c>
      <c r="D60" s="2">
        <v>45966.85045138889</v>
      </c>
      <c r="E60" s="3">
        <v>45966.0</v>
      </c>
      <c r="F60" s="3" t="str">
        <f t="shared" si="1"/>
        <v>November-2025</v>
      </c>
      <c r="G60" s="1">
        <v>20.0</v>
      </c>
      <c r="H60" s="1">
        <v>22900.0</v>
      </c>
      <c r="I60" s="1">
        <v>4603.0</v>
      </c>
      <c r="J60" s="1">
        <v>4489.0</v>
      </c>
      <c r="K60" s="1">
        <v>13808.0</v>
      </c>
    </row>
    <row r="61">
      <c r="A61" s="1" t="s">
        <v>11</v>
      </c>
      <c r="B61" s="1" t="s">
        <v>72</v>
      </c>
      <c r="C61" s="1" t="s">
        <v>13</v>
      </c>
      <c r="D61" s="2">
        <v>45966.89922453704</v>
      </c>
      <c r="E61" s="3">
        <v>45966.0</v>
      </c>
      <c r="F61" s="3" t="str">
        <f t="shared" si="1"/>
        <v>November-2025</v>
      </c>
      <c r="G61" s="1">
        <v>21.0</v>
      </c>
      <c r="H61" s="1">
        <v>56700.0</v>
      </c>
      <c r="I61" s="1">
        <v>11248.0</v>
      </c>
      <c r="J61" s="1">
        <v>15709.0</v>
      </c>
      <c r="K61" s="1">
        <v>29743.0</v>
      </c>
    </row>
    <row r="62">
      <c r="A62" s="1" t="s">
        <v>11</v>
      </c>
      <c r="B62" s="1" t="s">
        <v>73</v>
      </c>
      <c r="C62" s="1" t="s">
        <v>13</v>
      </c>
      <c r="D62" s="2">
        <v>45966.90299768518</v>
      </c>
      <c r="E62" s="3">
        <v>45966.0</v>
      </c>
      <c r="F62" s="3" t="str">
        <f t="shared" si="1"/>
        <v>November-2025</v>
      </c>
      <c r="G62" s="1">
        <v>21.0</v>
      </c>
      <c r="H62" s="1">
        <v>40500.0</v>
      </c>
      <c r="I62" s="1">
        <v>8288.0</v>
      </c>
      <c r="J62" s="1">
        <v>10350.0</v>
      </c>
      <c r="K62" s="1">
        <v>21862.0</v>
      </c>
    </row>
    <row r="63">
      <c r="A63" s="1" t="s">
        <v>11</v>
      </c>
      <c r="B63" s="1" t="s">
        <v>74</v>
      </c>
      <c r="C63" s="1" t="s">
        <v>13</v>
      </c>
      <c r="D63" s="2">
        <v>45966.93549768518</v>
      </c>
      <c r="E63" s="3">
        <v>45966.0</v>
      </c>
      <c r="F63" s="3" t="str">
        <f t="shared" si="1"/>
        <v>November-2025</v>
      </c>
      <c r="G63" s="1">
        <v>22.0</v>
      </c>
      <c r="H63" s="1">
        <v>38700.0</v>
      </c>
      <c r="I63" s="1">
        <v>7348.0</v>
      </c>
      <c r="J63" s="1">
        <v>9310.0</v>
      </c>
      <c r="K63" s="1">
        <v>22042.0</v>
      </c>
    </row>
    <row r="64">
      <c r="A64" s="1" t="s">
        <v>11</v>
      </c>
      <c r="B64" s="1" t="s">
        <v>75</v>
      </c>
      <c r="C64" s="1" t="s">
        <v>13</v>
      </c>
      <c r="D64" s="2">
        <v>45966.95414351852</v>
      </c>
      <c r="E64" s="3">
        <v>45966.0</v>
      </c>
      <c r="F64" s="3" t="str">
        <f t="shared" si="1"/>
        <v>November-2025</v>
      </c>
      <c r="G64" s="1">
        <v>22.0</v>
      </c>
      <c r="H64" s="1">
        <v>27900.0</v>
      </c>
      <c r="I64" s="1">
        <v>5266.0</v>
      </c>
      <c r="J64" s="1">
        <v>6836.0</v>
      </c>
      <c r="K64" s="1">
        <v>15798.0</v>
      </c>
    </row>
    <row r="65">
      <c r="A65" s="1" t="s">
        <v>11</v>
      </c>
      <c r="B65" s="1" t="s">
        <v>76</v>
      </c>
      <c r="C65" s="1" t="s">
        <v>13</v>
      </c>
      <c r="D65" s="2">
        <v>45967.479317129626</v>
      </c>
      <c r="E65" s="3">
        <v>45967.0</v>
      </c>
      <c r="F65" s="3" t="str">
        <f t="shared" si="1"/>
        <v>November-2025</v>
      </c>
      <c r="G65" s="1">
        <v>11.0</v>
      </c>
      <c r="H65" s="1">
        <v>54400.0</v>
      </c>
      <c r="I65" s="1">
        <v>10792.0</v>
      </c>
      <c r="J65" s="1">
        <v>15234.0</v>
      </c>
      <c r="K65" s="1">
        <v>28374.0</v>
      </c>
    </row>
    <row r="66">
      <c r="A66" s="1" t="s">
        <v>11</v>
      </c>
      <c r="B66" s="1" t="s">
        <v>77</v>
      </c>
      <c r="C66" s="1" t="s">
        <v>13</v>
      </c>
      <c r="D66" s="2">
        <v>45967.569386574076</v>
      </c>
      <c r="E66" s="3">
        <v>45967.0</v>
      </c>
      <c r="F66" s="3" t="str">
        <f t="shared" si="1"/>
        <v>November-2025</v>
      </c>
      <c r="G66" s="1">
        <v>13.0</v>
      </c>
      <c r="H66" s="1">
        <v>34600.0</v>
      </c>
      <c r="I66" s="1">
        <v>6955.0</v>
      </c>
      <c r="J66" s="1">
        <v>8782.0</v>
      </c>
      <c r="K66" s="1">
        <v>18863.0</v>
      </c>
    </row>
    <row r="67">
      <c r="A67" s="1" t="s">
        <v>11</v>
      </c>
      <c r="B67" s="1" t="s">
        <v>78</v>
      </c>
      <c r="C67" s="1" t="s">
        <v>13</v>
      </c>
      <c r="D67" s="2">
        <v>45967.61619212963</v>
      </c>
      <c r="E67" s="3">
        <v>45967.0</v>
      </c>
      <c r="F67" s="3" t="str">
        <f t="shared" si="1"/>
        <v>November-2025</v>
      </c>
      <c r="G67" s="1">
        <v>14.0</v>
      </c>
      <c r="H67" s="1">
        <v>18400.0</v>
      </c>
      <c r="I67" s="1">
        <v>3473.0</v>
      </c>
      <c r="J67" s="1">
        <v>4508.0</v>
      </c>
      <c r="K67" s="1">
        <v>10419.0</v>
      </c>
    </row>
    <row r="68">
      <c r="A68" s="1" t="s">
        <v>11</v>
      </c>
      <c r="B68" s="1" t="s">
        <v>79</v>
      </c>
      <c r="C68" s="1" t="s">
        <v>13</v>
      </c>
      <c r="D68" s="2">
        <v>45967.634884259256</v>
      </c>
      <c r="E68" s="3">
        <v>45967.0</v>
      </c>
      <c r="F68" s="3" t="str">
        <f t="shared" si="1"/>
        <v>November-2025</v>
      </c>
      <c r="G68" s="1">
        <v>15.0</v>
      </c>
      <c r="H68" s="1">
        <v>49100.0</v>
      </c>
      <c r="I68" s="1">
        <v>10438.0</v>
      </c>
      <c r="J68" s="1">
        <v>9350.0</v>
      </c>
      <c r="K68" s="1">
        <v>29312.0</v>
      </c>
    </row>
    <row r="69">
      <c r="A69" s="1" t="s">
        <v>11</v>
      </c>
      <c r="B69" s="1" t="s">
        <v>80</v>
      </c>
      <c r="C69" s="1" t="s">
        <v>13</v>
      </c>
      <c r="D69" s="2">
        <v>45967.64084490741</v>
      </c>
      <c r="E69" s="3">
        <v>45967.0</v>
      </c>
      <c r="F69" s="3" t="str">
        <f t="shared" si="1"/>
        <v>November-2025</v>
      </c>
      <c r="G69" s="1">
        <v>15.0</v>
      </c>
      <c r="H69" s="1">
        <v>22900.0</v>
      </c>
      <c r="I69" s="1">
        <v>4500.0</v>
      </c>
      <c r="J69" s="1">
        <v>4900.0</v>
      </c>
      <c r="K69" s="1">
        <v>13500.0</v>
      </c>
    </row>
    <row r="70">
      <c r="A70" s="1" t="s">
        <v>11</v>
      </c>
      <c r="B70" s="1" t="s">
        <v>81</v>
      </c>
      <c r="C70" s="1" t="s">
        <v>13</v>
      </c>
      <c r="D70" s="2">
        <v>45967.74731481481</v>
      </c>
      <c r="E70" s="3">
        <v>45967.0</v>
      </c>
      <c r="F70" s="3" t="str">
        <f t="shared" si="1"/>
        <v>November-2025</v>
      </c>
      <c r="G70" s="1">
        <v>17.0</v>
      </c>
      <c r="H70" s="1">
        <v>24800.0</v>
      </c>
      <c r="I70" s="1">
        <v>4975.0</v>
      </c>
      <c r="J70" s="1">
        <v>4900.0</v>
      </c>
      <c r="K70" s="1">
        <v>14925.0</v>
      </c>
    </row>
    <row r="71">
      <c r="A71" s="1" t="s">
        <v>11</v>
      </c>
      <c r="B71" s="1" t="s">
        <v>82</v>
      </c>
      <c r="C71" s="1" t="s">
        <v>13</v>
      </c>
      <c r="D71" s="2">
        <v>45967.76055555556</v>
      </c>
      <c r="E71" s="3">
        <v>45967.0</v>
      </c>
      <c r="F71" s="3" t="str">
        <f t="shared" si="1"/>
        <v>November-2025</v>
      </c>
      <c r="G71" s="1">
        <v>18.0</v>
      </c>
      <c r="H71" s="1">
        <v>33800.0</v>
      </c>
      <c r="I71" s="1">
        <v>6613.0</v>
      </c>
      <c r="J71" s="1">
        <v>9350.0</v>
      </c>
      <c r="K71" s="1">
        <v>17837.0</v>
      </c>
    </row>
    <row r="72">
      <c r="A72" s="1" t="s">
        <v>11</v>
      </c>
      <c r="B72" s="1" t="s">
        <v>83</v>
      </c>
      <c r="C72" s="1" t="s">
        <v>13</v>
      </c>
      <c r="D72" s="2">
        <v>45967.806655092594</v>
      </c>
      <c r="E72" s="3">
        <v>45967.0</v>
      </c>
      <c r="F72" s="3" t="str">
        <f t="shared" si="1"/>
        <v>November-2025</v>
      </c>
      <c r="G72" s="1">
        <v>19.0</v>
      </c>
      <c r="H72" s="1">
        <v>17900.0</v>
      </c>
      <c r="I72" s="1">
        <v>3379.0</v>
      </c>
      <c r="J72" s="1">
        <v>4386.0</v>
      </c>
      <c r="K72" s="1">
        <v>10135.0</v>
      </c>
    </row>
    <row r="73">
      <c r="A73" s="1" t="s">
        <v>11</v>
      </c>
      <c r="B73" s="1" t="s">
        <v>84</v>
      </c>
      <c r="C73" s="1" t="s">
        <v>13</v>
      </c>
      <c r="D73" s="2">
        <v>45967.830196759256</v>
      </c>
      <c r="E73" s="3">
        <v>45967.0</v>
      </c>
      <c r="F73" s="3" t="str">
        <f t="shared" si="1"/>
        <v>November-2025</v>
      </c>
      <c r="G73" s="1">
        <v>19.0</v>
      </c>
      <c r="H73" s="1">
        <v>22900.0</v>
      </c>
      <c r="I73" s="1">
        <v>4323.0</v>
      </c>
      <c r="J73" s="1">
        <v>5611.0</v>
      </c>
      <c r="K73" s="1">
        <v>12966.0</v>
      </c>
    </row>
    <row r="74">
      <c r="A74" s="1" t="s">
        <v>11</v>
      </c>
      <c r="B74" s="1" t="s">
        <v>85</v>
      </c>
      <c r="C74" s="1" t="s">
        <v>13</v>
      </c>
      <c r="D74" s="2">
        <v>45967.84795138889</v>
      </c>
      <c r="E74" s="3">
        <v>45967.0</v>
      </c>
      <c r="F74" s="3" t="str">
        <f t="shared" si="1"/>
        <v>November-2025</v>
      </c>
      <c r="G74" s="1">
        <v>20.0</v>
      </c>
      <c r="H74" s="1">
        <v>35100.0</v>
      </c>
      <c r="I74" s="1">
        <v>7055.0</v>
      </c>
      <c r="J74" s="1">
        <v>8880.0</v>
      </c>
      <c r="K74" s="1">
        <v>19165.0</v>
      </c>
    </row>
    <row r="75">
      <c r="A75" s="1" t="s">
        <v>11</v>
      </c>
      <c r="B75" s="1" t="s">
        <v>86</v>
      </c>
      <c r="C75" s="1" t="s">
        <v>13</v>
      </c>
      <c r="D75" s="2">
        <v>45967.882789351854</v>
      </c>
      <c r="E75" s="3">
        <v>45967.0</v>
      </c>
      <c r="F75" s="3" t="str">
        <f t="shared" si="1"/>
        <v>November-2025</v>
      </c>
      <c r="G75" s="1">
        <v>21.0</v>
      </c>
      <c r="H75" s="1">
        <v>32700.0</v>
      </c>
      <c r="I75" s="1">
        <v>5970.0</v>
      </c>
      <c r="J75" s="1">
        <v>10820.0</v>
      </c>
      <c r="K75" s="1">
        <v>15910.0</v>
      </c>
    </row>
    <row r="76">
      <c r="A76" s="1" t="s">
        <v>11</v>
      </c>
      <c r="B76" s="1" t="s">
        <v>87</v>
      </c>
      <c r="C76" s="1" t="s">
        <v>13</v>
      </c>
      <c r="D76" s="2">
        <v>45967.89778935185</v>
      </c>
      <c r="E76" s="3">
        <v>45967.0</v>
      </c>
      <c r="F76" s="3" t="str">
        <f t="shared" si="1"/>
        <v>November-2025</v>
      </c>
      <c r="G76" s="1">
        <v>21.0</v>
      </c>
      <c r="H76" s="1">
        <v>45800.0</v>
      </c>
      <c r="I76" s="1">
        <v>9613.0</v>
      </c>
      <c r="J76" s="1">
        <v>10350.0</v>
      </c>
      <c r="K76" s="1">
        <v>25837.0</v>
      </c>
    </row>
    <row r="77">
      <c r="A77" s="1" t="s">
        <v>11</v>
      </c>
      <c r="B77" s="1" t="s">
        <v>88</v>
      </c>
      <c r="C77" s="1" t="s">
        <v>13</v>
      </c>
      <c r="D77" s="2">
        <v>45967.906793981485</v>
      </c>
      <c r="E77" s="3">
        <v>45967.0</v>
      </c>
      <c r="F77" s="3" t="str">
        <f t="shared" si="1"/>
        <v>November-2025</v>
      </c>
      <c r="G77" s="1">
        <v>21.0</v>
      </c>
      <c r="H77" s="1">
        <v>20700.0</v>
      </c>
      <c r="I77" s="1">
        <v>5175.0</v>
      </c>
      <c r="J77" s="1">
        <v>0.0</v>
      </c>
      <c r="K77" s="1">
        <v>15525.0</v>
      </c>
    </row>
    <row r="78">
      <c r="A78" s="1" t="s">
        <v>11</v>
      </c>
      <c r="B78" s="1" t="s">
        <v>89</v>
      </c>
      <c r="C78" s="1" t="s">
        <v>13</v>
      </c>
      <c r="D78" s="2">
        <v>45968.48931712963</v>
      </c>
      <c r="E78" s="3">
        <v>45968.0</v>
      </c>
      <c r="F78" s="3" t="str">
        <f t="shared" si="1"/>
        <v>November-2025</v>
      </c>
      <c r="G78" s="1">
        <v>11.0</v>
      </c>
      <c r="H78" s="1">
        <v>22900.0</v>
      </c>
      <c r="I78" s="1">
        <v>4500.0</v>
      </c>
      <c r="J78" s="1">
        <v>4900.0</v>
      </c>
      <c r="K78" s="1">
        <v>13500.0</v>
      </c>
    </row>
    <row r="79">
      <c r="A79" s="1" t="s">
        <v>11</v>
      </c>
      <c r="B79" s="1" t="s">
        <v>90</v>
      </c>
      <c r="C79" s="1" t="s">
        <v>13</v>
      </c>
      <c r="D79" s="2">
        <v>45968.50497685185</v>
      </c>
      <c r="E79" s="3">
        <v>45968.0</v>
      </c>
      <c r="F79" s="3" t="str">
        <f t="shared" si="1"/>
        <v>November-2025</v>
      </c>
      <c r="G79" s="1">
        <v>12.0</v>
      </c>
      <c r="H79" s="1">
        <v>22500.0</v>
      </c>
      <c r="I79" s="1">
        <v>4247.0</v>
      </c>
      <c r="J79" s="1">
        <v>5513.0</v>
      </c>
      <c r="K79" s="1">
        <v>12740.0</v>
      </c>
    </row>
    <row r="80">
      <c r="A80" s="1" t="s">
        <v>11</v>
      </c>
      <c r="B80" s="1" t="s">
        <v>91</v>
      </c>
      <c r="C80" s="1" t="s">
        <v>13</v>
      </c>
      <c r="D80" s="2">
        <v>45968.51127314815</v>
      </c>
      <c r="E80" s="3">
        <v>45968.0</v>
      </c>
      <c r="F80" s="3" t="str">
        <f t="shared" si="1"/>
        <v>November-2025</v>
      </c>
      <c r="G80" s="1">
        <v>12.0</v>
      </c>
      <c r="H80" s="1">
        <v>26500.0</v>
      </c>
      <c r="I80" s="1">
        <v>5400.0</v>
      </c>
      <c r="J80" s="1">
        <v>4900.0</v>
      </c>
      <c r="K80" s="1">
        <v>16200.0</v>
      </c>
    </row>
    <row r="81">
      <c r="A81" s="1" t="s">
        <v>11</v>
      </c>
      <c r="B81" s="1" t="s">
        <v>92</v>
      </c>
      <c r="C81" s="1" t="s">
        <v>13</v>
      </c>
      <c r="D81" s="2">
        <v>45968.63247685185</v>
      </c>
      <c r="E81" s="3">
        <v>45968.0</v>
      </c>
      <c r="F81" s="3" t="str">
        <f t="shared" si="1"/>
        <v>November-2025</v>
      </c>
      <c r="G81" s="1">
        <v>15.0</v>
      </c>
      <c r="H81" s="1">
        <v>48400.0</v>
      </c>
      <c r="I81" s="1">
        <v>10263.0</v>
      </c>
      <c r="J81" s="1">
        <v>10350.0</v>
      </c>
      <c r="K81" s="1">
        <v>27787.0</v>
      </c>
    </row>
    <row r="82">
      <c r="A82" s="1" t="s">
        <v>11</v>
      </c>
      <c r="B82" s="1" t="s">
        <v>93</v>
      </c>
      <c r="C82" s="1" t="s">
        <v>13</v>
      </c>
      <c r="D82" s="2">
        <v>45968.68164351852</v>
      </c>
      <c r="E82" s="3">
        <v>45968.0</v>
      </c>
      <c r="F82" s="3" t="str">
        <f t="shared" si="1"/>
        <v>November-2025</v>
      </c>
      <c r="G82" s="1">
        <v>16.0</v>
      </c>
      <c r="H82" s="1">
        <v>160300.0</v>
      </c>
      <c r="I82" s="1">
        <v>30618.0</v>
      </c>
      <c r="J82" s="1">
        <v>45331.0</v>
      </c>
      <c r="K82" s="1">
        <v>84351.0</v>
      </c>
    </row>
    <row r="83">
      <c r="A83" s="1" t="s">
        <v>11</v>
      </c>
      <c r="B83" s="1" t="s">
        <v>94</v>
      </c>
      <c r="C83" s="1" t="s">
        <v>13</v>
      </c>
      <c r="D83" s="2">
        <v>45968.728738425925</v>
      </c>
      <c r="E83" s="3">
        <v>45968.0</v>
      </c>
      <c r="F83" s="3" t="str">
        <f t="shared" si="1"/>
        <v>November-2025</v>
      </c>
      <c r="G83" s="1">
        <v>17.0</v>
      </c>
      <c r="H83" s="1">
        <v>25800.0</v>
      </c>
      <c r="I83" s="1">
        <v>5225.0</v>
      </c>
      <c r="J83" s="1">
        <v>4900.0</v>
      </c>
      <c r="K83" s="1">
        <v>15675.0</v>
      </c>
    </row>
    <row r="84">
      <c r="A84" s="1" t="s">
        <v>11</v>
      </c>
      <c r="B84" s="1" t="s">
        <v>95</v>
      </c>
      <c r="C84" s="1" t="s">
        <v>13</v>
      </c>
      <c r="D84" s="2">
        <v>45968.78487268519</v>
      </c>
      <c r="E84" s="3">
        <v>45968.0</v>
      </c>
      <c r="F84" s="3" t="str">
        <f t="shared" si="1"/>
        <v>November-2025</v>
      </c>
      <c r="G84" s="1">
        <v>18.0</v>
      </c>
      <c r="H84" s="1">
        <v>34800.0</v>
      </c>
      <c r="I84" s="1">
        <v>6373.0</v>
      </c>
      <c r="J84" s="1">
        <v>11310.0</v>
      </c>
      <c r="K84" s="1">
        <v>17117.0</v>
      </c>
    </row>
    <row r="85">
      <c r="A85" s="1" t="s">
        <v>11</v>
      </c>
      <c r="B85" s="1" t="s">
        <v>96</v>
      </c>
      <c r="C85" s="1" t="s">
        <v>13</v>
      </c>
      <c r="D85" s="2">
        <v>45968.797939814816</v>
      </c>
      <c r="E85" s="3">
        <v>45968.0</v>
      </c>
      <c r="F85" s="3" t="str">
        <f t="shared" si="1"/>
        <v>November-2025</v>
      </c>
      <c r="G85" s="1">
        <v>19.0</v>
      </c>
      <c r="H85" s="1">
        <v>26400.0</v>
      </c>
      <c r="I85" s="1">
        <v>5375.0</v>
      </c>
      <c r="J85" s="1">
        <v>4900.0</v>
      </c>
      <c r="K85" s="1">
        <v>16125.0</v>
      </c>
    </row>
    <row r="86">
      <c r="A86" s="1" t="s">
        <v>11</v>
      </c>
      <c r="B86" s="1" t="s">
        <v>97</v>
      </c>
      <c r="C86" s="1" t="s">
        <v>13</v>
      </c>
      <c r="D86" s="2">
        <v>45968.85134259259</v>
      </c>
      <c r="E86" s="3">
        <v>45968.0</v>
      </c>
      <c r="F86" s="3" t="str">
        <f t="shared" si="1"/>
        <v>November-2025</v>
      </c>
      <c r="G86" s="1">
        <v>20.0</v>
      </c>
      <c r="H86" s="1">
        <v>47500.0</v>
      </c>
      <c r="I86" s="1">
        <v>9915.0</v>
      </c>
      <c r="J86" s="1">
        <v>10840.0</v>
      </c>
      <c r="K86" s="1">
        <v>26745.0</v>
      </c>
    </row>
    <row r="87">
      <c r="A87" s="1" t="s">
        <v>11</v>
      </c>
      <c r="B87" s="1" t="s">
        <v>98</v>
      </c>
      <c r="C87" s="1" t="s">
        <v>13</v>
      </c>
      <c r="D87" s="2">
        <v>45968.91819444444</v>
      </c>
      <c r="E87" s="3">
        <v>45968.0</v>
      </c>
      <c r="F87" s="3" t="str">
        <f t="shared" si="1"/>
        <v>November-2025</v>
      </c>
      <c r="G87" s="1">
        <v>22.0</v>
      </c>
      <c r="H87" s="1">
        <v>27900.0</v>
      </c>
      <c r="I87" s="1">
        <v>5750.0</v>
      </c>
      <c r="J87" s="1">
        <v>4900.0</v>
      </c>
      <c r="K87" s="1">
        <v>17250.0</v>
      </c>
    </row>
    <row r="88">
      <c r="A88" s="1" t="s">
        <v>11</v>
      </c>
      <c r="B88" s="1" t="s">
        <v>99</v>
      </c>
      <c r="C88" s="1" t="s">
        <v>13</v>
      </c>
      <c r="D88" s="2">
        <v>45968.92597222222</v>
      </c>
      <c r="E88" s="3">
        <v>45968.0</v>
      </c>
      <c r="F88" s="3" t="str">
        <f t="shared" si="1"/>
        <v>November-2025</v>
      </c>
      <c r="G88" s="1">
        <v>22.0</v>
      </c>
      <c r="H88" s="1">
        <v>43700.0</v>
      </c>
      <c r="I88" s="1">
        <v>9088.0</v>
      </c>
      <c r="J88" s="1">
        <v>10350.0</v>
      </c>
      <c r="K88" s="1">
        <v>24262.0</v>
      </c>
    </row>
    <row r="89">
      <c r="A89" s="1" t="s">
        <v>11</v>
      </c>
      <c r="B89" s="1" t="s">
        <v>100</v>
      </c>
      <c r="C89" s="1" t="s">
        <v>13</v>
      </c>
      <c r="D89" s="2">
        <v>45968.95240740741</v>
      </c>
      <c r="E89" s="3">
        <v>45968.0</v>
      </c>
      <c r="F89" s="3" t="str">
        <f t="shared" si="1"/>
        <v>November-2025</v>
      </c>
      <c r="G89" s="1">
        <v>22.0</v>
      </c>
      <c r="H89" s="1">
        <v>64200.0</v>
      </c>
      <c r="I89" s="1">
        <v>12736.0</v>
      </c>
      <c r="J89" s="1">
        <v>17258.0</v>
      </c>
      <c r="K89" s="1">
        <v>34206.0</v>
      </c>
    </row>
    <row r="90">
      <c r="A90" s="1" t="s">
        <v>11</v>
      </c>
      <c r="B90" s="1" t="s">
        <v>101</v>
      </c>
      <c r="C90" s="1" t="s">
        <v>13</v>
      </c>
      <c r="D90" s="2">
        <v>45969.57969907407</v>
      </c>
      <c r="E90" s="3">
        <v>45969.0</v>
      </c>
      <c r="F90" s="3" t="str">
        <f t="shared" si="1"/>
        <v>November-2025</v>
      </c>
      <c r="G90" s="1">
        <v>13.0</v>
      </c>
      <c r="H90" s="1">
        <v>34600.0</v>
      </c>
      <c r="I90" s="1">
        <v>8650.0</v>
      </c>
      <c r="J90" s="1">
        <v>0.0</v>
      </c>
      <c r="K90" s="1">
        <v>25950.0</v>
      </c>
    </row>
    <row r="91">
      <c r="A91" s="1" t="s">
        <v>11</v>
      </c>
      <c r="B91" s="1" t="s">
        <v>102</v>
      </c>
      <c r="C91" s="1" t="s">
        <v>13</v>
      </c>
      <c r="D91" s="2">
        <v>45969.58393518518</v>
      </c>
      <c r="E91" s="3">
        <v>45969.0</v>
      </c>
      <c r="F91" s="3" t="str">
        <f t="shared" si="1"/>
        <v>November-2025</v>
      </c>
      <c r="G91" s="1">
        <v>14.0</v>
      </c>
      <c r="H91" s="1">
        <v>55600.0</v>
      </c>
      <c r="I91" s="1">
        <v>11030.0</v>
      </c>
      <c r="J91" s="1">
        <v>15482.0</v>
      </c>
      <c r="K91" s="1">
        <v>29088.0</v>
      </c>
    </row>
    <row r="92">
      <c r="A92" s="1" t="s">
        <v>11</v>
      </c>
      <c r="B92" s="1" t="s">
        <v>103</v>
      </c>
      <c r="C92" s="1" t="s">
        <v>13</v>
      </c>
      <c r="D92" s="2">
        <v>45969.81363425926</v>
      </c>
      <c r="E92" s="3">
        <v>45969.0</v>
      </c>
      <c r="F92" s="3" t="str">
        <f t="shared" si="1"/>
        <v>November-2025</v>
      </c>
      <c r="G92" s="1">
        <v>19.0</v>
      </c>
      <c r="H92" s="1">
        <v>68300.0</v>
      </c>
      <c r="I92" s="1">
        <v>13549.0</v>
      </c>
      <c r="J92" s="1">
        <v>18104.0</v>
      </c>
      <c r="K92" s="1">
        <v>36647.0</v>
      </c>
    </row>
    <row r="93">
      <c r="A93" s="1" t="s">
        <v>11</v>
      </c>
      <c r="B93" s="1" t="s">
        <v>104</v>
      </c>
      <c r="C93" s="1" t="s">
        <v>13</v>
      </c>
      <c r="D93" s="2">
        <v>45969.831192129626</v>
      </c>
      <c r="E93" s="3">
        <v>45969.0</v>
      </c>
      <c r="F93" s="3" t="str">
        <f t="shared" si="1"/>
        <v>November-2025</v>
      </c>
      <c r="G93" s="1">
        <v>19.0</v>
      </c>
      <c r="H93" s="1">
        <v>53300.0</v>
      </c>
      <c r="I93" s="1">
        <v>10574.0</v>
      </c>
      <c r="J93" s="1">
        <v>14007.0</v>
      </c>
      <c r="K93" s="1">
        <v>28719.0</v>
      </c>
    </row>
    <row r="94">
      <c r="A94" s="1" t="s">
        <v>11</v>
      </c>
      <c r="B94" s="1" t="s">
        <v>105</v>
      </c>
      <c r="C94" s="1" t="s">
        <v>13</v>
      </c>
      <c r="D94" s="2">
        <v>45969.838912037034</v>
      </c>
      <c r="E94" s="3">
        <v>45969.0</v>
      </c>
      <c r="F94" s="3" t="str">
        <f t="shared" si="1"/>
        <v>November-2025</v>
      </c>
      <c r="G94" s="1">
        <v>20.0</v>
      </c>
      <c r="H94" s="1">
        <v>17900.0</v>
      </c>
      <c r="I94" s="1">
        <v>3379.0</v>
      </c>
      <c r="J94" s="1">
        <v>4386.0</v>
      </c>
      <c r="K94" s="1">
        <v>10135.0</v>
      </c>
    </row>
    <row r="95">
      <c r="A95" s="1" t="s">
        <v>11</v>
      </c>
      <c r="B95" s="1" t="s">
        <v>106</v>
      </c>
      <c r="C95" s="1" t="s">
        <v>13</v>
      </c>
      <c r="D95" s="2">
        <v>45969.84373842592</v>
      </c>
      <c r="E95" s="3">
        <v>45969.0</v>
      </c>
      <c r="F95" s="3" t="str">
        <f t="shared" si="1"/>
        <v>November-2025</v>
      </c>
      <c r="G95" s="1">
        <v>20.0</v>
      </c>
      <c r="H95" s="1">
        <v>40200.0</v>
      </c>
      <c r="I95" s="1">
        <v>8213.0</v>
      </c>
      <c r="J95" s="1">
        <v>7350.0</v>
      </c>
      <c r="K95" s="1">
        <v>24637.0</v>
      </c>
    </row>
    <row r="96">
      <c r="A96" s="1" t="s">
        <v>11</v>
      </c>
      <c r="B96" s="1" t="s">
        <v>107</v>
      </c>
      <c r="C96" s="1" t="s">
        <v>13</v>
      </c>
      <c r="D96" s="2">
        <v>45969.8669212963</v>
      </c>
      <c r="E96" s="3">
        <v>45969.0</v>
      </c>
      <c r="F96" s="3" t="str">
        <f t="shared" si="1"/>
        <v>November-2025</v>
      </c>
      <c r="G96" s="1">
        <v>20.0</v>
      </c>
      <c r="H96" s="1">
        <v>22900.0</v>
      </c>
      <c r="I96" s="1">
        <v>4500.0</v>
      </c>
      <c r="J96" s="1">
        <v>4900.0</v>
      </c>
      <c r="K96" s="1">
        <v>13500.0</v>
      </c>
    </row>
    <row r="97">
      <c r="A97" s="1" t="s">
        <v>11</v>
      </c>
      <c r="B97" s="1" t="s">
        <v>108</v>
      </c>
      <c r="C97" s="1" t="s">
        <v>13</v>
      </c>
      <c r="D97" s="2">
        <v>45969.89099537037</v>
      </c>
      <c r="E97" s="3">
        <v>45969.0</v>
      </c>
      <c r="F97" s="3" t="str">
        <f t="shared" si="1"/>
        <v>November-2025</v>
      </c>
      <c r="G97" s="1">
        <v>21.0</v>
      </c>
      <c r="H97" s="1">
        <v>17900.0</v>
      </c>
      <c r="I97" s="1">
        <v>3379.0</v>
      </c>
      <c r="J97" s="1">
        <v>4386.0</v>
      </c>
      <c r="K97" s="1">
        <v>10135.0</v>
      </c>
    </row>
    <row r="98">
      <c r="A98" s="1" t="s">
        <v>11</v>
      </c>
      <c r="B98" s="1" t="s">
        <v>109</v>
      </c>
      <c r="C98" s="1" t="s">
        <v>13</v>
      </c>
      <c r="D98" s="2">
        <v>45969.90787037037</v>
      </c>
      <c r="E98" s="3">
        <v>45969.0</v>
      </c>
      <c r="F98" s="3" t="str">
        <f t="shared" si="1"/>
        <v>November-2025</v>
      </c>
      <c r="G98" s="1">
        <v>21.0</v>
      </c>
      <c r="H98" s="1">
        <v>45800.0</v>
      </c>
      <c r="I98" s="1">
        <v>9490.0</v>
      </c>
      <c r="J98" s="1">
        <v>10840.0</v>
      </c>
      <c r="K98" s="1">
        <v>25470.0</v>
      </c>
    </row>
    <row r="99">
      <c r="A99" s="1" t="s">
        <v>11</v>
      </c>
      <c r="B99" s="1" t="s">
        <v>110</v>
      </c>
      <c r="C99" s="1" t="s">
        <v>13</v>
      </c>
      <c r="D99" s="2">
        <v>45969.956655092596</v>
      </c>
      <c r="E99" s="3">
        <v>45969.0</v>
      </c>
      <c r="F99" s="3" t="str">
        <f t="shared" si="1"/>
        <v>November-2025</v>
      </c>
      <c r="G99" s="1">
        <v>22.0</v>
      </c>
      <c r="H99" s="1">
        <v>22900.0</v>
      </c>
      <c r="I99" s="1">
        <v>4500.0</v>
      </c>
      <c r="J99" s="1">
        <v>4900.0</v>
      </c>
      <c r="K99" s="1">
        <v>13500.0</v>
      </c>
    </row>
    <row r="100">
      <c r="A100" s="1" t="s">
        <v>11</v>
      </c>
      <c r="B100" s="1" t="s">
        <v>111</v>
      </c>
      <c r="C100" s="1" t="s">
        <v>13</v>
      </c>
      <c r="D100" s="2">
        <v>45970.47871527778</v>
      </c>
      <c r="E100" s="3">
        <v>45970.0</v>
      </c>
      <c r="F100" s="3" t="str">
        <f t="shared" si="1"/>
        <v>November-2025</v>
      </c>
      <c r="G100" s="1">
        <v>11.0</v>
      </c>
      <c r="H100" s="1">
        <v>26400.0</v>
      </c>
      <c r="I100" s="1">
        <v>5375.0</v>
      </c>
      <c r="J100" s="1">
        <v>4900.0</v>
      </c>
      <c r="K100" s="1">
        <v>16125.0</v>
      </c>
    </row>
    <row r="101">
      <c r="A101" s="1" t="s">
        <v>11</v>
      </c>
      <c r="B101" s="1" t="s">
        <v>112</v>
      </c>
      <c r="C101" s="1" t="s">
        <v>13</v>
      </c>
      <c r="D101" s="2">
        <v>45970.50430555556</v>
      </c>
      <c r="E101" s="3">
        <v>45970.0</v>
      </c>
      <c r="F101" s="3" t="str">
        <f t="shared" si="1"/>
        <v>November-2025</v>
      </c>
      <c r="G101" s="1">
        <v>12.0</v>
      </c>
      <c r="H101" s="1">
        <v>33800.0</v>
      </c>
      <c r="I101" s="1">
        <v>6613.0</v>
      </c>
      <c r="J101" s="1">
        <v>9350.0</v>
      </c>
      <c r="K101" s="1">
        <v>17837.0</v>
      </c>
    </row>
    <row r="102">
      <c r="A102" s="1" t="s">
        <v>11</v>
      </c>
      <c r="B102" s="1" t="s">
        <v>113</v>
      </c>
      <c r="C102" s="1" t="s">
        <v>13</v>
      </c>
      <c r="D102" s="2">
        <v>45970.516284722224</v>
      </c>
      <c r="E102" s="3">
        <v>45970.0</v>
      </c>
      <c r="F102" s="3" t="str">
        <f t="shared" si="1"/>
        <v>November-2025</v>
      </c>
      <c r="G102" s="1">
        <v>12.0</v>
      </c>
      <c r="H102" s="1">
        <v>50400.0</v>
      </c>
      <c r="I102" s="1">
        <v>9998.0</v>
      </c>
      <c r="J102" s="1">
        <v>14408.0</v>
      </c>
      <c r="K102" s="1">
        <v>25994.0</v>
      </c>
    </row>
    <row r="103">
      <c r="A103" s="1" t="s">
        <v>11</v>
      </c>
      <c r="B103" s="1" t="s">
        <v>114</v>
      </c>
      <c r="C103" s="1" t="s">
        <v>13</v>
      </c>
      <c r="D103" s="2">
        <v>45970.54565972222</v>
      </c>
      <c r="E103" s="3">
        <v>45970.0</v>
      </c>
      <c r="F103" s="3" t="str">
        <f t="shared" si="1"/>
        <v>November-2025</v>
      </c>
      <c r="G103" s="1">
        <v>13.0</v>
      </c>
      <c r="H103" s="1">
        <v>30400.0</v>
      </c>
      <c r="I103" s="1">
        <v>6111.0</v>
      </c>
      <c r="J103" s="1">
        <v>7959.0</v>
      </c>
      <c r="K103" s="1">
        <v>16330.0</v>
      </c>
    </row>
    <row r="104">
      <c r="A104" s="1" t="s">
        <v>11</v>
      </c>
      <c r="B104" s="1" t="s">
        <v>115</v>
      </c>
      <c r="C104" s="1" t="s">
        <v>13</v>
      </c>
      <c r="D104" s="2">
        <v>45970.574583333335</v>
      </c>
      <c r="E104" s="3">
        <v>45970.0</v>
      </c>
      <c r="F104" s="3" t="str">
        <f t="shared" si="1"/>
        <v>November-2025</v>
      </c>
      <c r="G104" s="1">
        <v>13.0</v>
      </c>
      <c r="H104" s="1">
        <v>102000.0</v>
      </c>
      <c r="I104" s="1">
        <v>19482.0</v>
      </c>
      <c r="J104" s="1">
        <v>32572.0</v>
      </c>
      <c r="K104" s="1">
        <v>49946.0</v>
      </c>
    </row>
    <row r="105">
      <c r="A105" s="1" t="s">
        <v>11</v>
      </c>
      <c r="B105" s="1" t="s">
        <v>116</v>
      </c>
      <c r="C105" s="1" t="s">
        <v>13</v>
      </c>
      <c r="D105" s="2">
        <v>45970.578784722224</v>
      </c>
      <c r="E105" s="3">
        <v>45970.0</v>
      </c>
      <c r="F105" s="3" t="str">
        <f t="shared" si="1"/>
        <v>November-2025</v>
      </c>
      <c r="G105" s="1">
        <v>13.0</v>
      </c>
      <c r="H105" s="1">
        <v>45800.0</v>
      </c>
      <c r="I105" s="1">
        <v>9613.0</v>
      </c>
      <c r="J105" s="1">
        <v>10350.0</v>
      </c>
      <c r="K105" s="1">
        <v>25837.0</v>
      </c>
    </row>
    <row r="106">
      <c r="A106" s="1" t="s">
        <v>11</v>
      </c>
      <c r="B106" s="1" t="s">
        <v>117</v>
      </c>
      <c r="C106" s="1" t="s">
        <v>13</v>
      </c>
      <c r="D106" s="2">
        <v>45970.60203703704</v>
      </c>
      <c r="E106" s="3">
        <v>45970.0</v>
      </c>
      <c r="F106" s="3" t="str">
        <f t="shared" si="1"/>
        <v>November-2025</v>
      </c>
      <c r="G106" s="1">
        <v>14.0</v>
      </c>
      <c r="H106" s="1">
        <v>22900.0</v>
      </c>
      <c r="I106" s="1">
        <v>4500.0</v>
      </c>
      <c r="J106" s="1">
        <v>4900.0</v>
      </c>
      <c r="K106" s="1">
        <v>13500.0</v>
      </c>
    </row>
    <row r="107">
      <c r="A107" s="1" t="s">
        <v>11</v>
      </c>
      <c r="B107" s="1" t="s">
        <v>118</v>
      </c>
      <c r="C107" s="1" t="s">
        <v>13</v>
      </c>
      <c r="D107" s="2">
        <v>45970.79667824074</v>
      </c>
      <c r="E107" s="3">
        <v>45970.0</v>
      </c>
      <c r="F107" s="3" t="str">
        <f t="shared" si="1"/>
        <v>November-2025</v>
      </c>
      <c r="G107" s="1">
        <v>19.0</v>
      </c>
      <c r="H107" s="1">
        <v>45000.0</v>
      </c>
      <c r="I107" s="1">
        <v>9413.0</v>
      </c>
      <c r="J107" s="1">
        <v>10350.0</v>
      </c>
      <c r="K107" s="1">
        <v>25237.0</v>
      </c>
    </row>
    <row r="108">
      <c r="A108" s="1" t="s">
        <v>11</v>
      </c>
      <c r="B108" s="1" t="s">
        <v>119</v>
      </c>
      <c r="C108" s="1" t="s">
        <v>13</v>
      </c>
      <c r="D108" s="2">
        <v>45970.854780092595</v>
      </c>
      <c r="E108" s="3">
        <v>45970.0</v>
      </c>
      <c r="F108" s="3" t="str">
        <f t="shared" si="1"/>
        <v>November-2025</v>
      </c>
      <c r="G108" s="1">
        <v>20.0</v>
      </c>
      <c r="H108" s="1">
        <v>23900.0</v>
      </c>
      <c r="I108" s="1">
        <v>4750.0</v>
      </c>
      <c r="J108" s="1">
        <v>4900.0</v>
      </c>
      <c r="K108" s="1">
        <v>14250.0</v>
      </c>
    </row>
    <row r="109">
      <c r="A109" s="1" t="s">
        <v>11</v>
      </c>
      <c r="B109" s="1" t="s">
        <v>120</v>
      </c>
      <c r="C109" s="1" t="s">
        <v>13</v>
      </c>
      <c r="D109" s="2">
        <v>45970.896365740744</v>
      </c>
      <c r="E109" s="3">
        <v>45970.0</v>
      </c>
      <c r="F109" s="3" t="str">
        <f t="shared" si="1"/>
        <v>November-2025</v>
      </c>
      <c r="G109" s="1">
        <v>21.0</v>
      </c>
      <c r="H109" s="1">
        <v>83700.0</v>
      </c>
      <c r="I109" s="1">
        <v>16604.0</v>
      </c>
      <c r="J109" s="1">
        <v>21285.0</v>
      </c>
      <c r="K109" s="1">
        <v>45811.0</v>
      </c>
    </row>
    <row r="110">
      <c r="A110" s="1" t="s">
        <v>11</v>
      </c>
      <c r="B110" s="1" t="s">
        <v>121</v>
      </c>
      <c r="C110" s="1" t="s">
        <v>13</v>
      </c>
      <c r="D110" s="2">
        <v>45970.914560185185</v>
      </c>
      <c r="E110" s="3">
        <v>45970.0</v>
      </c>
      <c r="F110" s="3" t="str">
        <f t="shared" si="1"/>
        <v>November-2025</v>
      </c>
      <c r="G110" s="1">
        <v>21.0</v>
      </c>
      <c r="H110" s="1">
        <v>32700.0</v>
      </c>
      <c r="I110" s="1">
        <v>6338.0</v>
      </c>
      <c r="J110" s="1">
        <v>9350.0</v>
      </c>
      <c r="K110" s="1">
        <v>17012.0</v>
      </c>
    </row>
    <row r="111">
      <c r="A111" s="1" t="s">
        <v>11</v>
      </c>
      <c r="B111" s="1" t="s">
        <v>122</v>
      </c>
      <c r="C111" s="1" t="s">
        <v>13</v>
      </c>
      <c r="D111" s="2">
        <v>45970.91811342593</v>
      </c>
      <c r="E111" s="3">
        <v>45970.0</v>
      </c>
      <c r="F111" s="3" t="str">
        <f t="shared" si="1"/>
        <v>November-2025</v>
      </c>
      <c r="G111" s="1">
        <v>22.0</v>
      </c>
      <c r="H111" s="1">
        <v>41300.0</v>
      </c>
      <c r="I111" s="1">
        <v>8488.0</v>
      </c>
      <c r="J111" s="1">
        <v>10350.0</v>
      </c>
      <c r="K111" s="1">
        <v>22462.0</v>
      </c>
    </row>
    <row r="112">
      <c r="A112" s="1" t="s">
        <v>11</v>
      </c>
      <c r="B112" s="1" t="s">
        <v>123</v>
      </c>
      <c r="C112" s="1" t="s">
        <v>13</v>
      </c>
      <c r="D112" s="2">
        <v>45970.945069444446</v>
      </c>
      <c r="E112" s="3">
        <v>45970.0</v>
      </c>
      <c r="F112" s="3" t="str">
        <f t="shared" si="1"/>
        <v>November-2025</v>
      </c>
      <c r="G112" s="1">
        <v>22.0</v>
      </c>
      <c r="H112" s="1">
        <v>22900.0</v>
      </c>
      <c r="I112" s="1">
        <v>4500.0</v>
      </c>
      <c r="J112" s="1">
        <v>4900.0</v>
      </c>
      <c r="K112" s="1">
        <v>13500.0</v>
      </c>
    </row>
    <row r="113">
      <c r="A113" s="1" t="s">
        <v>11</v>
      </c>
      <c r="B113" s="1" t="s">
        <v>124</v>
      </c>
      <c r="C113" s="1" t="s">
        <v>13</v>
      </c>
      <c r="D113" s="2">
        <v>45970.945081018515</v>
      </c>
      <c r="E113" s="3">
        <v>45970.0</v>
      </c>
      <c r="F113" s="3" t="str">
        <f t="shared" si="1"/>
        <v>November-2025</v>
      </c>
      <c r="G113" s="1">
        <v>22.0</v>
      </c>
      <c r="H113" s="1">
        <v>21800.0</v>
      </c>
      <c r="I113" s="1">
        <v>4115.0</v>
      </c>
      <c r="J113" s="1">
        <v>5341.0</v>
      </c>
      <c r="K113" s="1">
        <v>12344.0</v>
      </c>
    </row>
    <row r="114">
      <c r="A114" s="1" t="s">
        <v>11</v>
      </c>
      <c r="B114" s="1" t="s">
        <v>125</v>
      </c>
      <c r="C114" s="1" t="s">
        <v>13</v>
      </c>
      <c r="D114" s="2">
        <v>45970.96010416667</v>
      </c>
      <c r="E114" s="3">
        <v>45970.0</v>
      </c>
      <c r="F114" s="3" t="str">
        <f t="shared" si="1"/>
        <v>November-2025</v>
      </c>
      <c r="G114" s="1">
        <v>23.0</v>
      </c>
      <c r="H114" s="1">
        <v>42500.0</v>
      </c>
      <c r="I114" s="1">
        <v>8665.0</v>
      </c>
      <c r="J114" s="1">
        <v>10840.0</v>
      </c>
      <c r="K114" s="1">
        <v>22995.0</v>
      </c>
    </row>
    <row r="115">
      <c r="A115" s="1" t="s">
        <v>11</v>
      </c>
      <c r="B115" s="1" t="s">
        <v>126</v>
      </c>
      <c r="C115" s="1" t="s">
        <v>13</v>
      </c>
      <c r="D115" s="2">
        <v>45971.493993055556</v>
      </c>
      <c r="E115" s="3">
        <v>45971.0</v>
      </c>
      <c r="F115" s="3" t="str">
        <f t="shared" si="1"/>
        <v>November-2025</v>
      </c>
      <c r="G115" s="1">
        <v>11.0</v>
      </c>
      <c r="H115" s="1">
        <v>22900.0</v>
      </c>
      <c r="I115" s="1">
        <v>4500.0</v>
      </c>
      <c r="J115" s="1">
        <v>4900.0</v>
      </c>
      <c r="K115" s="1">
        <v>13500.0</v>
      </c>
    </row>
    <row r="116">
      <c r="A116" s="1" t="s">
        <v>11</v>
      </c>
      <c r="B116" s="1" t="s">
        <v>127</v>
      </c>
      <c r="C116" s="1" t="s">
        <v>13</v>
      </c>
      <c r="D116" s="2">
        <v>45971.510300925926</v>
      </c>
      <c r="E116" s="3">
        <v>45971.0</v>
      </c>
      <c r="F116" s="3" t="str">
        <f t="shared" si="1"/>
        <v>November-2025</v>
      </c>
      <c r="G116" s="1">
        <v>12.0</v>
      </c>
      <c r="H116" s="1">
        <v>24600.0</v>
      </c>
      <c r="I116" s="1">
        <v>4925.0</v>
      </c>
      <c r="J116" s="1">
        <v>4900.0</v>
      </c>
      <c r="K116" s="1">
        <v>14775.0</v>
      </c>
    </row>
    <row r="117">
      <c r="A117" s="1" t="s">
        <v>11</v>
      </c>
      <c r="B117" s="1" t="s">
        <v>128</v>
      </c>
      <c r="C117" s="1" t="s">
        <v>13</v>
      </c>
      <c r="D117" s="2">
        <v>45971.51290509259</v>
      </c>
      <c r="E117" s="3">
        <v>45971.0</v>
      </c>
      <c r="F117" s="3" t="str">
        <f t="shared" si="1"/>
        <v>November-2025</v>
      </c>
      <c r="G117" s="1">
        <v>12.0</v>
      </c>
      <c r="H117" s="1">
        <v>25400.0</v>
      </c>
      <c r="I117" s="1">
        <v>5125.0</v>
      </c>
      <c r="J117" s="1">
        <v>4900.0</v>
      </c>
      <c r="K117" s="1">
        <v>15375.0</v>
      </c>
    </row>
    <row r="118">
      <c r="A118" s="1" t="s">
        <v>11</v>
      </c>
      <c r="B118" s="1" t="s">
        <v>129</v>
      </c>
      <c r="C118" s="1" t="s">
        <v>13</v>
      </c>
      <c r="D118" s="2">
        <v>45971.55572916667</v>
      </c>
      <c r="E118" s="3">
        <v>45971.0</v>
      </c>
      <c r="F118" s="3" t="str">
        <f t="shared" si="1"/>
        <v>November-2025</v>
      </c>
      <c r="G118" s="1">
        <v>13.0</v>
      </c>
      <c r="H118" s="1">
        <v>47700.0</v>
      </c>
      <c r="I118" s="1">
        <v>10088.0</v>
      </c>
      <c r="J118" s="1">
        <v>10350.0</v>
      </c>
      <c r="K118" s="1">
        <v>27262.0</v>
      </c>
    </row>
    <row r="119">
      <c r="A119" s="1" t="s">
        <v>11</v>
      </c>
      <c r="B119" s="1" t="s">
        <v>130</v>
      </c>
      <c r="C119" s="1" t="s">
        <v>13</v>
      </c>
      <c r="D119" s="2">
        <v>45971.68618055555</v>
      </c>
      <c r="E119" s="3">
        <v>45971.0</v>
      </c>
      <c r="F119" s="3" t="str">
        <f t="shared" si="1"/>
        <v>November-2025</v>
      </c>
      <c r="G119" s="1">
        <v>16.0</v>
      </c>
      <c r="H119" s="1">
        <v>22900.0</v>
      </c>
      <c r="I119" s="1">
        <v>4603.0</v>
      </c>
      <c r="J119" s="1">
        <v>4489.0</v>
      </c>
      <c r="K119" s="1">
        <v>13808.0</v>
      </c>
    </row>
    <row r="120">
      <c r="A120" s="1" t="s">
        <v>11</v>
      </c>
      <c r="B120" s="1" t="s">
        <v>131</v>
      </c>
      <c r="C120" s="1" t="s">
        <v>13</v>
      </c>
      <c r="D120" s="2">
        <v>45971.751226851855</v>
      </c>
      <c r="E120" s="3">
        <v>45971.0</v>
      </c>
      <c r="F120" s="3" t="str">
        <f t="shared" si="1"/>
        <v>November-2025</v>
      </c>
      <c r="G120" s="1">
        <v>18.0</v>
      </c>
      <c r="H120" s="1">
        <v>33800.0</v>
      </c>
      <c r="I120" s="1">
        <v>6123.0</v>
      </c>
      <c r="J120" s="1">
        <v>11310.0</v>
      </c>
      <c r="K120" s="1">
        <v>16367.0</v>
      </c>
    </row>
    <row r="121">
      <c r="A121" s="1" t="s">
        <v>11</v>
      </c>
      <c r="B121" s="1" t="s">
        <v>132</v>
      </c>
      <c r="C121" s="1" t="s">
        <v>13</v>
      </c>
      <c r="D121" s="2">
        <v>45971.76241898148</v>
      </c>
      <c r="E121" s="3">
        <v>45971.0</v>
      </c>
      <c r="F121" s="3" t="str">
        <f t="shared" si="1"/>
        <v>November-2025</v>
      </c>
      <c r="G121" s="1">
        <v>18.0</v>
      </c>
      <c r="H121" s="1">
        <v>45800.0</v>
      </c>
      <c r="I121" s="1">
        <v>9613.0</v>
      </c>
      <c r="J121" s="1">
        <v>10350.0</v>
      </c>
      <c r="K121" s="1">
        <v>25837.0</v>
      </c>
    </row>
    <row r="122">
      <c r="A122" s="1" t="s">
        <v>11</v>
      </c>
      <c r="B122" s="1" t="s">
        <v>133</v>
      </c>
      <c r="C122" s="1" t="s">
        <v>13</v>
      </c>
      <c r="D122" s="2">
        <v>45971.852476851855</v>
      </c>
      <c r="E122" s="3">
        <v>45971.0</v>
      </c>
      <c r="F122" s="3" t="str">
        <f t="shared" si="1"/>
        <v>November-2025</v>
      </c>
      <c r="G122" s="1">
        <v>20.0</v>
      </c>
      <c r="H122" s="1">
        <v>49700.0</v>
      </c>
      <c r="I122" s="1">
        <v>10588.0</v>
      </c>
      <c r="J122" s="1">
        <v>7350.0</v>
      </c>
      <c r="K122" s="1">
        <v>31762.0</v>
      </c>
    </row>
    <row r="123">
      <c r="A123" s="1" t="s">
        <v>11</v>
      </c>
      <c r="B123" s="1" t="s">
        <v>134</v>
      </c>
      <c r="C123" s="1" t="s">
        <v>13</v>
      </c>
      <c r="D123" s="2">
        <v>45971.87037037037</v>
      </c>
      <c r="E123" s="3">
        <v>45971.0</v>
      </c>
      <c r="F123" s="3" t="str">
        <f t="shared" si="1"/>
        <v>November-2025</v>
      </c>
      <c r="G123" s="1">
        <v>20.0</v>
      </c>
      <c r="H123" s="1">
        <v>35800.0</v>
      </c>
      <c r="I123" s="1">
        <v>6868.0</v>
      </c>
      <c r="J123" s="1">
        <v>10330.0</v>
      </c>
      <c r="K123" s="1">
        <v>18602.0</v>
      </c>
    </row>
    <row r="124">
      <c r="A124" s="1" t="s">
        <v>11</v>
      </c>
      <c r="B124" s="1" t="s">
        <v>135</v>
      </c>
      <c r="C124" s="1" t="s">
        <v>13</v>
      </c>
      <c r="D124" s="2">
        <v>45971.87320601852</v>
      </c>
      <c r="E124" s="3">
        <v>45971.0</v>
      </c>
      <c r="F124" s="3" t="str">
        <f t="shared" si="1"/>
        <v>November-2025</v>
      </c>
      <c r="G124" s="1">
        <v>20.0</v>
      </c>
      <c r="H124" s="1">
        <v>22900.0</v>
      </c>
      <c r="I124" s="1">
        <v>4323.0</v>
      </c>
      <c r="J124" s="1">
        <v>5611.0</v>
      </c>
      <c r="K124" s="1">
        <v>12966.0</v>
      </c>
    </row>
    <row r="125">
      <c r="A125" s="1" t="s">
        <v>11</v>
      </c>
      <c r="B125" s="1" t="s">
        <v>136</v>
      </c>
      <c r="C125" s="1" t="s">
        <v>13</v>
      </c>
      <c r="D125" s="2">
        <v>45971.87902777778</v>
      </c>
      <c r="E125" s="3">
        <v>45971.0</v>
      </c>
      <c r="F125" s="3" t="str">
        <f t="shared" si="1"/>
        <v>November-2025</v>
      </c>
      <c r="G125" s="1">
        <v>21.0</v>
      </c>
      <c r="H125" s="1">
        <v>36400.0</v>
      </c>
      <c r="I125" s="1">
        <v>6773.0</v>
      </c>
      <c r="J125" s="1">
        <v>11310.0</v>
      </c>
      <c r="K125" s="1">
        <v>18317.0</v>
      </c>
    </row>
    <row r="126">
      <c r="A126" s="1" t="s">
        <v>11</v>
      </c>
      <c r="B126" s="1" t="s">
        <v>137</v>
      </c>
      <c r="C126" s="1" t="s">
        <v>13</v>
      </c>
      <c r="D126" s="2">
        <v>45971.879537037035</v>
      </c>
      <c r="E126" s="3">
        <v>45971.0</v>
      </c>
      <c r="F126" s="3" t="str">
        <f t="shared" si="1"/>
        <v>November-2025</v>
      </c>
      <c r="G126" s="1">
        <v>21.0</v>
      </c>
      <c r="H126" s="1">
        <v>33000.0</v>
      </c>
      <c r="I126" s="1">
        <v>6413.0</v>
      </c>
      <c r="J126" s="1">
        <v>9350.0</v>
      </c>
      <c r="K126" s="1">
        <v>17237.0</v>
      </c>
    </row>
    <row r="127">
      <c r="A127" s="1" t="s">
        <v>11</v>
      </c>
      <c r="B127" s="1" t="s">
        <v>138</v>
      </c>
      <c r="C127" s="1" t="s">
        <v>13</v>
      </c>
      <c r="D127" s="2">
        <v>45971.88725694444</v>
      </c>
      <c r="E127" s="3">
        <v>45971.0</v>
      </c>
      <c r="F127" s="3" t="str">
        <f t="shared" si="1"/>
        <v>November-2025</v>
      </c>
      <c r="G127" s="1">
        <v>21.0</v>
      </c>
      <c r="H127" s="1">
        <v>45800.0</v>
      </c>
      <c r="I127" s="1">
        <v>9613.0</v>
      </c>
      <c r="J127" s="1">
        <v>10350.0</v>
      </c>
      <c r="K127" s="1">
        <v>25837.0</v>
      </c>
    </row>
    <row r="128">
      <c r="A128" s="1" t="s">
        <v>11</v>
      </c>
      <c r="B128" s="1" t="s">
        <v>139</v>
      </c>
      <c r="C128" s="1" t="s">
        <v>13</v>
      </c>
      <c r="D128" s="2">
        <v>45971.88878472222</v>
      </c>
      <c r="E128" s="3">
        <v>45971.0</v>
      </c>
      <c r="F128" s="3" t="str">
        <f t="shared" si="1"/>
        <v>November-2025</v>
      </c>
      <c r="G128" s="1">
        <v>21.0</v>
      </c>
      <c r="H128" s="1">
        <v>33800.0</v>
      </c>
      <c r="I128" s="1">
        <v>6613.0</v>
      </c>
      <c r="J128" s="1">
        <v>9350.0</v>
      </c>
      <c r="K128" s="1">
        <v>17837.0</v>
      </c>
    </row>
    <row r="129">
      <c r="A129" s="1" t="s">
        <v>11</v>
      </c>
      <c r="B129" s="1" t="s">
        <v>140</v>
      </c>
      <c r="C129" s="1" t="s">
        <v>13</v>
      </c>
      <c r="D129" s="2">
        <v>45971.92568287037</v>
      </c>
      <c r="E129" s="3">
        <v>45971.0</v>
      </c>
      <c r="F129" s="3" t="str">
        <f t="shared" si="1"/>
        <v>November-2025</v>
      </c>
      <c r="G129" s="1">
        <v>22.0</v>
      </c>
      <c r="H129" s="1">
        <v>27900.0</v>
      </c>
      <c r="I129" s="1">
        <v>5266.0</v>
      </c>
      <c r="J129" s="1">
        <v>6836.0</v>
      </c>
      <c r="K129" s="1">
        <v>15798.0</v>
      </c>
    </row>
    <row r="130">
      <c r="A130" s="1" t="s">
        <v>11</v>
      </c>
      <c r="B130" s="1" t="s">
        <v>141</v>
      </c>
      <c r="C130" s="1" t="s">
        <v>13</v>
      </c>
      <c r="D130" s="2">
        <v>45971.93461805556</v>
      </c>
      <c r="E130" s="3">
        <v>45971.0</v>
      </c>
      <c r="F130" s="3" t="str">
        <f t="shared" si="1"/>
        <v>November-2025</v>
      </c>
      <c r="G130" s="1">
        <v>22.0</v>
      </c>
      <c r="H130" s="1">
        <v>23900.0</v>
      </c>
      <c r="I130" s="1">
        <v>4511.0</v>
      </c>
      <c r="J130" s="1">
        <v>5856.0</v>
      </c>
      <c r="K130" s="1">
        <v>13533.0</v>
      </c>
    </row>
    <row r="131">
      <c r="A131" s="1" t="s">
        <v>11</v>
      </c>
      <c r="B131" s="1" t="s">
        <v>142</v>
      </c>
      <c r="C131" s="1" t="s">
        <v>13</v>
      </c>
      <c r="D131" s="2">
        <v>45972.48065972222</v>
      </c>
      <c r="E131" s="3">
        <v>45972.0</v>
      </c>
      <c r="F131" s="3" t="str">
        <f t="shared" si="1"/>
        <v>November-2025</v>
      </c>
      <c r="G131" s="1">
        <v>11.0</v>
      </c>
      <c r="H131" s="1">
        <v>45800.0</v>
      </c>
      <c r="I131" s="1">
        <v>8388.0</v>
      </c>
      <c r="J131" s="1">
        <v>15250.0</v>
      </c>
      <c r="K131" s="1">
        <v>22162.0</v>
      </c>
    </row>
    <row r="132">
      <c r="A132" s="1" t="s">
        <v>11</v>
      </c>
      <c r="B132" s="1" t="s">
        <v>143</v>
      </c>
      <c r="C132" s="1" t="s">
        <v>13</v>
      </c>
      <c r="D132" s="2">
        <v>45972.52060185185</v>
      </c>
      <c r="E132" s="3">
        <v>45972.0</v>
      </c>
      <c r="F132" s="3" t="str">
        <f t="shared" si="1"/>
        <v>November-2025</v>
      </c>
      <c r="G132" s="1">
        <v>12.0</v>
      </c>
      <c r="H132" s="1">
        <v>32700.0</v>
      </c>
      <c r="I132" s="1">
        <v>5572.0</v>
      </c>
      <c r="J132" s="1">
        <v>12415.0</v>
      </c>
      <c r="K132" s="1">
        <v>14713.0</v>
      </c>
    </row>
    <row r="133">
      <c r="A133" s="1" t="s">
        <v>11</v>
      </c>
      <c r="B133" s="1" t="s">
        <v>144</v>
      </c>
      <c r="C133" s="1" t="s">
        <v>13</v>
      </c>
      <c r="D133" s="2">
        <v>45972.52521990741</v>
      </c>
      <c r="E133" s="3">
        <v>45972.0</v>
      </c>
      <c r="F133" s="3" t="str">
        <f t="shared" si="1"/>
        <v>November-2025</v>
      </c>
      <c r="G133" s="1">
        <v>12.0</v>
      </c>
      <c r="H133" s="1">
        <v>137400.0</v>
      </c>
      <c r="I133" s="1">
        <v>26244.0</v>
      </c>
      <c r="J133" s="1">
        <v>41427.0</v>
      </c>
      <c r="K133" s="1">
        <v>69729.0</v>
      </c>
    </row>
    <row r="134">
      <c r="A134" s="1" t="s">
        <v>11</v>
      </c>
      <c r="B134" s="1" t="s">
        <v>145</v>
      </c>
      <c r="C134" s="1" t="s">
        <v>13</v>
      </c>
      <c r="D134" s="2">
        <v>45972.52795138889</v>
      </c>
      <c r="E134" s="3">
        <v>45972.0</v>
      </c>
      <c r="F134" s="3" t="str">
        <f t="shared" si="1"/>
        <v>November-2025</v>
      </c>
      <c r="G134" s="1">
        <v>12.0</v>
      </c>
      <c r="H134" s="1">
        <v>26500.0</v>
      </c>
      <c r="I134" s="1">
        <v>5400.0</v>
      </c>
      <c r="J134" s="1">
        <v>4900.0</v>
      </c>
      <c r="K134" s="1">
        <v>16200.0</v>
      </c>
    </row>
    <row r="135">
      <c r="A135" s="1" t="s">
        <v>11</v>
      </c>
      <c r="B135" s="1" t="s">
        <v>146</v>
      </c>
      <c r="C135" s="1" t="s">
        <v>13</v>
      </c>
      <c r="D135" s="2">
        <v>45972.531064814815</v>
      </c>
      <c r="E135" s="3">
        <v>45972.0</v>
      </c>
      <c r="F135" s="3" t="str">
        <f t="shared" si="1"/>
        <v>November-2025</v>
      </c>
      <c r="G135" s="1">
        <v>12.0</v>
      </c>
      <c r="H135" s="1">
        <v>37600.0</v>
      </c>
      <c r="I135" s="1">
        <v>6406.0</v>
      </c>
      <c r="J135" s="1">
        <v>13976.0</v>
      </c>
      <c r="K135" s="1">
        <v>17218.0</v>
      </c>
    </row>
    <row r="136">
      <c r="A136" s="1" t="s">
        <v>11</v>
      </c>
      <c r="B136" s="1" t="s">
        <v>147</v>
      </c>
      <c r="C136" s="1" t="s">
        <v>13</v>
      </c>
      <c r="D136" s="2">
        <v>45972.57292824074</v>
      </c>
      <c r="E136" s="3">
        <v>45972.0</v>
      </c>
      <c r="F136" s="3" t="str">
        <f t="shared" si="1"/>
        <v>November-2025</v>
      </c>
      <c r="G136" s="1">
        <v>13.0</v>
      </c>
      <c r="H136" s="1">
        <v>33100.0</v>
      </c>
      <c r="I136" s="1">
        <v>5842.0</v>
      </c>
      <c r="J136" s="1">
        <v>11732.0</v>
      </c>
      <c r="K136" s="1">
        <v>15526.0</v>
      </c>
    </row>
    <row r="137">
      <c r="A137" s="1" t="s">
        <v>11</v>
      </c>
      <c r="B137" s="1" t="s">
        <v>148</v>
      </c>
      <c r="C137" s="1" t="s">
        <v>13</v>
      </c>
      <c r="D137" s="2">
        <v>45972.66976851852</v>
      </c>
      <c r="E137" s="3">
        <v>45972.0</v>
      </c>
      <c r="F137" s="3" t="str">
        <f t="shared" si="1"/>
        <v>November-2025</v>
      </c>
      <c r="G137" s="1">
        <v>16.0</v>
      </c>
      <c r="H137" s="1">
        <v>24600.0</v>
      </c>
      <c r="I137" s="1">
        <v>4925.0</v>
      </c>
      <c r="J137" s="1">
        <v>4900.0</v>
      </c>
      <c r="K137" s="1">
        <v>14775.0</v>
      </c>
    </row>
    <row r="138">
      <c r="A138" s="1" t="s">
        <v>11</v>
      </c>
      <c r="B138" s="1" t="s">
        <v>149</v>
      </c>
      <c r="C138" s="1" t="s">
        <v>13</v>
      </c>
      <c r="D138" s="2">
        <v>45972.798472222225</v>
      </c>
      <c r="E138" s="3">
        <v>45972.0</v>
      </c>
      <c r="F138" s="3" t="str">
        <f t="shared" si="1"/>
        <v>November-2025</v>
      </c>
      <c r="G138" s="1">
        <v>19.0</v>
      </c>
      <c r="H138" s="1">
        <v>45800.0</v>
      </c>
      <c r="I138" s="1">
        <v>11450.0</v>
      </c>
      <c r="J138" s="1">
        <v>3000.0</v>
      </c>
      <c r="K138" s="1">
        <v>31350.0</v>
      </c>
    </row>
    <row r="139">
      <c r="A139" s="1" t="s">
        <v>11</v>
      </c>
      <c r="B139" s="1" t="s">
        <v>150</v>
      </c>
      <c r="C139" s="1" t="s">
        <v>13</v>
      </c>
      <c r="D139" s="2">
        <v>45972.8312037037</v>
      </c>
      <c r="E139" s="3">
        <v>45972.0</v>
      </c>
      <c r="F139" s="3" t="str">
        <f t="shared" si="1"/>
        <v>November-2025</v>
      </c>
      <c r="G139" s="1">
        <v>19.0</v>
      </c>
      <c r="H139" s="1">
        <v>22900.0</v>
      </c>
      <c r="I139" s="1">
        <v>4500.0</v>
      </c>
      <c r="J139" s="1">
        <v>4900.0</v>
      </c>
      <c r="K139" s="1">
        <v>13500.0</v>
      </c>
    </row>
    <row r="140">
      <c r="A140" s="1" t="s">
        <v>11</v>
      </c>
      <c r="B140" s="1" t="s">
        <v>151</v>
      </c>
      <c r="C140" s="1" t="s">
        <v>13</v>
      </c>
      <c r="D140" s="2">
        <v>45972.85091435185</v>
      </c>
      <c r="E140" s="3">
        <v>45972.0</v>
      </c>
      <c r="F140" s="3" t="str">
        <f t="shared" si="1"/>
        <v>November-2025</v>
      </c>
      <c r="G140" s="1">
        <v>20.0</v>
      </c>
      <c r="H140" s="1">
        <v>45800.0</v>
      </c>
      <c r="I140" s="1">
        <v>8388.0</v>
      </c>
      <c r="J140" s="1">
        <v>15250.0</v>
      </c>
      <c r="K140" s="1">
        <v>22162.0</v>
      </c>
    </row>
    <row r="141">
      <c r="A141" s="1" t="s">
        <v>11</v>
      </c>
      <c r="B141" s="1" t="s">
        <v>152</v>
      </c>
      <c r="C141" s="1" t="s">
        <v>13</v>
      </c>
      <c r="D141" s="2">
        <v>45972.852372685185</v>
      </c>
      <c r="E141" s="3">
        <v>45972.0</v>
      </c>
      <c r="F141" s="3" t="str">
        <f t="shared" si="1"/>
        <v>November-2025</v>
      </c>
      <c r="G141" s="1">
        <v>20.0</v>
      </c>
      <c r="H141" s="1">
        <v>38800.0</v>
      </c>
      <c r="I141" s="1">
        <v>6638.0</v>
      </c>
      <c r="J141" s="1">
        <v>14250.0</v>
      </c>
      <c r="K141" s="1">
        <v>17912.0</v>
      </c>
    </row>
    <row r="142">
      <c r="A142" s="1" t="s">
        <v>11</v>
      </c>
      <c r="B142" s="1" t="s">
        <v>153</v>
      </c>
      <c r="C142" s="1" t="s">
        <v>13</v>
      </c>
      <c r="D142" s="2">
        <v>45972.85560185185</v>
      </c>
      <c r="E142" s="3">
        <v>45972.0</v>
      </c>
      <c r="F142" s="3" t="str">
        <f t="shared" si="1"/>
        <v>November-2025</v>
      </c>
      <c r="G142" s="1">
        <v>20.0</v>
      </c>
      <c r="H142" s="1">
        <v>36300.0</v>
      </c>
      <c r="I142" s="1">
        <v>6185.0</v>
      </c>
      <c r="J142" s="1">
        <v>13562.0</v>
      </c>
      <c r="K142" s="1">
        <v>16553.0</v>
      </c>
    </row>
    <row r="143">
      <c r="A143" s="1" t="s">
        <v>11</v>
      </c>
      <c r="B143" s="1" t="s">
        <v>154</v>
      </c>
      <c r="C143" s="1" t="s">
        <v>13</v>
      </c>
      <c r="D143" s="2">
        <v>45972.89083333333</v>
      </c>
      <c r="E143" s="3">
        <v>45972.0</v>
      </c>
      <c r="F143" s="3" t="str">
        <f t="shared" si="1"/>
        <v>November-2025</v>
      </c>
      <c r="G143" s="1">
        <v>21.0</v>
      </c>
      <c r="H143" s="1">
        <v>27900.0</v>
      </c>
      <c r="I143" s="1">
        <v>5750.0</v>
      </c>
      <c r="J143" s="1">
        <v>4900.0</v>
      </c>
      <c r="K143" s="1">
        <v>17250.0</v>
      </c>
    </row>
    <row r="144">
      <c r="A144" s="1" t="s">
        <v>11</v>
      </c>
      <c r="B144" s="1" t="s">
        <v>155</v>
      </c>
      <c r="C144" s="1" t="s">
        <v>13</v>
      </c>
      <c r="D144" s="2">
        <v>45972.90902777778</v>
      </c>
      <c r="E144" s="3">
        <v>45972.0</v>
      </c>
      <c r="F144" s="3" t="str">
        <f t="shared" si="1"/>
        <v>November-2025</v>
      </c>
      <c r="G144" s="1">
        <v>21.0</v>
      </c>
      <c r="H144" s="1">
        <v>45800.0</v>
      </c>
      <c r="I144" s="1">
        <v>8388.0</v>
      </c>
      <c r="J144" s="1">
        <v>15250.0</v>
      </c>
      <c r="K144" s="1">
        <v>22162.0</v>
      </c>
    </row>
    <row r="145">
      <c r="A145" s="1" t="s">
        <v>11</v>
      </c>
      <c r="B145" s="1" t="s">
        <v>156</v>
      </c>
      <c r="C145" s="1" t="s">
        <v>13</v>
      </c>
      <c r="D145" s="2">
        <v>45972.90902777778</v>
      </c>
      <c r="E145" s="3">
        <v>45972.0</v>
      </c>
      <c r="F145" s="3" t="str">
        <f t="shared" si="1"/>
        <v>November-2025</v>
      </c>
      <c r="G145" s="1">
        <v>21.0</v>
      </c>
      <c r="H145" s="1">
        <v>22900.0</v>
      </c>
      <c r="I145" s="1">
        <v>5725.0</v>
      </c>
      <c r="J145" s="1">
        <v>0.0</v>
      </c>
      <c r="K145" s="1">
        <v>17175.0</v>
      </c>
    </row>
    <row r="146">
      <c r="A146" s="1" t="s">
        <v>11</v>
      </c>
      <c r="B146" s="1" t="s">
        <v>157</v>
      </c>
      <c r="C146" s="1" t="s">
        <v>13</v>
      </c>
      <c r="D146" s="2">
        <v>45973.517233796294</v>
      </c>
      <c r="E146" s="3">
        <v>45973.0</v>
      </c>
      <c r="F146" s="3" t="str">
        <f t="shared" si="1"/>
        <v>November-2025</v>
      </c>
      <c r="G146" s="1">
        <v>12.0</v>
      </c>
      <c r="H146" s="1">
        <v>32700.0</v>
      </c>
      <c r="I146" s="1">
        <v>6215.0</v>
      </c>
      <c r="J146" s="1">
        <v>9840.0</v>
      </c>
      <c r="K146" s="1">
        <v>16645.0</v>
      </c>
    </row>
    <row r="147">
      <c r="A147" s="1" t="s">
        <v>11</v>
      </c>
      <c r="B147" s="1" t="s">
        <v>158</v>
      </c>
      <c r="C147" s="1" t="s">
        <v>13</v>
      </c>
      <c r="D147" s="2">
        <v>45973.53394675926</v>
      </c>
      <c r="E147" s="3">
        <v>45973.0</v>
      </c>
      <c r="F147" s="3" t="str">
        <f t="shared" si="1"/>
        <v>November-2025</v>
      </c>
      <c r="G147" s="1">
        <v>12.0</v>
      </c>
      <c r="H147" s="1">
        <v>45800.0</v>
      </c>
      <c r="I147" s="1">
        <v>9613.0</v>
      </c>
      <c r="J147" s="1">
        <v>10350.0</v>
      </c>
      <c r="K147" s="1">
        <v>25837.0</v>
      </c>
    </row>
    <row r="148">
      <c r="A148" s="1" t="s">
        <v>11</v>
      </c>
      <c r="B148" s="1" t="s">
        <v>159</v>
      </c>
      <c r="C148" s="1" t="s">
        <v>13</v>
      </c>
      <c r="D148" s="2">
        <v>45973.558391203704</v>
      </c>
      <c r="E148" s="3">
        <v>45973.0</v>
      </c>
      <c r="F148" s="3" t="str">
        <f t="shared" si="1"/>
        <v>November-2025</v>
      </c>
      <c r="G148" s="1">
        <v>13.0</v>
      </c>
      <c r="H148" s="1">
        <v>37700.0</v>
      </c>
      <c r="I148" s="1">
        <v>7588.0</v>
      </c>
      <c r="J148" s="1">
        <v>9350.0</v>
      </c>
      <c r="K148" s="1">
        <v>20762.0</v>
      </c>
    </row>
    <row r="149">
      <c r="A149" s="1" t="s">
        <v>11</v>
      </c>
      <c r="B149" s="1" t="s">
        <v>160</v>
      </c>
      <c r="C149" s="1" t="s">
        <v>13</v>
      </c>
      <c r="D149" s="2">
        <v>45973.714907407404</v>
      </c>
      <c r="E149" s="3">
        <v>45973.0</v>
      </c>
      <c r="F149" s="3" t="str">
        <f t="shared" si="1"/>
        <v>November-2025</v>
      </c>
      <c r="G149" s="1">
        <v>17.0</v>
      </c>
      <c r="H149" s="1">
        <v>46700.0</v>
      </c>
      <c r="I149" s="1">
        <v>9838.0</v>
      </c>
      <c r="J149" s="1">
        <v>10350.0</v>
      </c>
      <c r="K149" s="1">
        <v>26512.0</v>
      </c>
    </row>
    <row r="150">
      <c r="A150" s="1" t="s">
        <v>11</v>
      </c>
      <c r="B150" s="1" t="s">
        <v>161</v>
      </c>
      <c r="C150" s="1" t="s">
        <v>13</v>
      </c>
      <c r="D150" s="2">
        <v>45973.71571759259</v>
      </c>
      <c r="E150" s="3">
        <v>45973.0</v>
      </c>
      <c r="F150" s="3" t="str">
        <f t="shared" si="1"/>
        <v>November-2025</v>
      </c>
      <c r="G150" s="1">
        <v>17.0</v>
      </c>
      <c r="H150" s="1">
        <v>36300.0</v>
      </c>
      <c r="I150" s="1">
        <v>9075.0</v>
      </c>
      <c r="J150" s="1">
        <v>2000.0</v>
      </c>
      <c r="K150" s="1">
        <v>25225.0</v>
      </c>
    </row>
    <row r="151">
      <c r="A151" s="1" t="s">
        <v>11</v>
      </c>
      <c r="B151" s="1" t="s">
        <v>162</v>
      </c>
      <c r="C151" s="1" t="s">
        <v>13</v>
      </c>
      <c r="D151" s="2">
        <v>45973.79356481481</v>
      </c>
      <c r="E151" s="3">
        <v>45973.0</v>
      </c>
      <c r="F151" s="3" t="str">
        <f t="shared" si="1"/>
        <v>November-2025</v>
      </c>
      <c r="G151" s="1">
        <v>19.0</v>
      </c>
      <c r="H151" s="1">
        <v>65100.0</v>
      </c>
      <c r="I151" s="1">
        <v>12914.0</v>
      </c>
      <c r="J151" s="1">
        <v>17444.0</v>
      </c>
      <c r="K151" s="1">
        <v>34742.0</v>
      </c>
    </row>
    <row r="152">
      <c r="A152" s="1" t="s">
        <v>11</v>
      </c>
      <c r="B152" s="1" t="s">
        <v>163</v>
      </c>
      <c r="C152" s="1" t="s">
        <v>13</v>
      </c>
      <c r="D152" s="2">
        <v>45973.79405092593</v>
      </c>
      <c r="E152" s="3">
        <v>45973.0</v>
      </c>
      <c r="F152" s="3" t="str">
        <f t="shared" si="1"/>
        <v>November-2025</v>
      </c>
      <c r="G152" s="1">
        <v>19.0</v>
      </c>
      <c r="H152" s="1">
        <v>27900.0</v>
      </c>
      <c r="I152" s="1">
        <v>5750.0</v>
      </c>
      <c r="J152" s="1">
        <v>4900.0</v>
      </c>
      <c r="K152" s="1">
        <v>17250.0</v>
      </c>
    </row>
    <row r="153">
      <c r="A153" s="1" t="s">
        <v>11</v>
      </c>
      <c r="B153" s="1" t="s">
        <v>164</v>
      </c>
      <c r="C153" s="1" t="s">
        <v>13</v>
      </c>
      <c r="D153" s="2">
        <v>45973.79508101852</v>
      </c>
      <c r="E153" s="3">
        <v>45973.0</v>
      </c>
      <c r="F153" s="3" t="str">
        <f t="shared" si="1"/>
        <v>November-2025</v>
      </c>
      <c r="G153" s="1">
        <v>19.0</v>
      </c>
      <c r="H153" s="1">
        <v>22900.0</v>
      </c>
      <c r="I153" s="1">
        <v>4500.0</v>
      </c>
      <c r="J153" s="1">
        <v>4900.0</v>
      </c>
      <c r="K153" s="1">
        <v>13500.0</v>
      </c>
    </row>
    <row r="154">
      <c r="A154" s="1" t="s">
        <v>11</v>
      </c>
      <c r="B154" s="1" t="s">
        <v>165</v>
      </c>
      <c r="C154" s="1" t="s">
        <v>13</v>
      </c>
      <c r="D154" s="2">
        <v>45973.81418981482</v>
      </c>
      <c r="E154" s="3">
        <v>45973.0</v>
      </c>
      <c r="F154" s="3" t="str">
        <f t="shared" si="1"/>
        <v>November-2025</v>
      </c>
      <c r="G154" s="1">
        <v>19.0</v>
      </c>
      <c r="H154" s="1">
        <v>31700.0</v>
      </c>
      <c r="I154" s="1">
        <v>6372.0</v>
      </c>
      <c r="J154" s="1">
        <v>8214.0</v>
      </c>
      <c r="K154" s="1">
        <v>17114.0</v>
      </c>
    </row>
    <row r="155">
      <c r="A155" s="1" t="s">
        <v>11</v>
      </c>
      <c r="B155" s="1" t="s">
        <v>166</v>
      </c>
      <c r="C155" s="1" t="s">
        <v>13</v>
      </c>
      <c r="D155" s="2">
        <v>45973.83400462963</v>
      </c>
      <c r="E155" s="3">
        <v>45973.0</v>
      </c>
      <c r="F155" s="3" t="str">
        <f t="shared" si="1"/>
        <v>November-2025</v>
      </c>
      <c r="G155" s="1">
        <v>20.0</v>
      </c>
      <c r="H155" s="1">
        <v>46400.0</v>
      </c>
      <c r="I155" s="1">
        <v>9763.0</v>
      </c>
      <c r="J155" s="1">
        <v>10350.0</v>
      </c>
      <c r="K155" s="1">
        <v>26287.0</v>
      </c>
    </row>
    <row r="156">
      <c r="A156" s="1" t="s">
        <v>11</v>
      </c>
      <c r="B156" s="1" t="s">
        <v>167</v>
      </c>
      <c r="C156" s="1" t="s">
        <v>13</v>
      </c>
      <c r="D156" s="2">
        <v>45973.896898148145</v>
      </c>
      <c r="E156" s="3">
        <v>45973.0</v>
      </c>
      <c r="F156" s="3" t="str">
        <f t="shared" si="1"/>
        <v>November-2025</v>
      </c>
      <c r="G156" s="1">
        <v>21.0</v>
      </c>
      <c r="H156" s="1">
        <v>33800.0</v>
      </c>
      <c r="I156" s="1">
        <v>6490.0</v>
      </c>
      <c r="J156" s="1">
        <v>9840.0</v>
      </c>
      <c r="K156" s="1">
        <v>17470.0</v>
      </c>
    </row>
    <row r="157">
      <c r="A157" s="1" t="s">
        <v>11</v>
      </c>
      <c r="B157" s="1" t="s">
        <v>168</v>
      </c>
      <c r="C157" s="1" t="s">
        <v>13</v>
      </c>
      <c r="D157" s="2">
        <v>45973.960486111115</v>
      </c>
      <c r="E157" s="3">
        <v>45973.0</v>
      </c>
      <c r="F157" s="3" t="str">
        <f t="shared" si="1"/>
        <v>November-2025</v>
      </c>
      <c r="G157" s="1">
        <v>23.0</v>
      </c>
      <c r="H157" s="1">
        <v>31700.0</v>
      </c>
      <c r="I157" s="1">
        <v>6372.0</v>
      </c>
      <c r="J157" s="1">
        <v>8214.0</v>
      </c>
      <c r="K157" s="1">
        <v>17114.0</v>
      </c>
    </row>
    <row r="158">
      <c r="A158" s="1" t="s">
        <v>11</v>
      </c>
      <c r="B158" s="1" t="s">
        <v>169</v>
      </c>
      <c r="C158" s="1" t="s">
        <v>13</v>
      </c>
      <c r="D158" s="2">
        <v>45974.47866898148</v>
      </c>
      <c r="E158" s="3">
        <v>45974.0</v>
      </c>
      <c r="F158" s="3" t="str">
        <f t="shared" si="1"/>
        <v>November-2025</v>
      </c>
      <c r="G158" s="1">
        <v>11.0</v>
      </c>
      <c r="H158" s="1">
        <v>36700.0</v>
      </c>
      <c r="I158" s="1">
        <v>7215.0</v>
      </c>
      <c r="J158" s="1">
        <v>9840.0</v>
      </c>
      <c r="K158" s="1">
        <v>19645.0</v>
      </c>
    </row>
    <row r="159">
      <c r="A159" s="1" t="s">
        <v>11</v>
      </c>
      <c r="B159" s="1" t="s">
        <v>170</v>
      </c>
      <c r="C159" s="1" t="s">
        <v>13</v>
      </c>
      <c r="D159" s="2">
        <v>45974.52810185185</v>
      </c>
      <c r="E159" s="3">
        <v>45974.0</v>
      </c>
      <c r="F159" s="3" t="str">
        <f t="shared" si="1"/>
        <v>November-2025</v>
      </c>
      <c r="G159" s="1">
        <v>12.0</v>
      </c>
      <c r="H159" s="1">
        <v>38600.0</v>
      </c>
      <c r="I159" s="1">
        <v>7813.0</v>
      </c>
      <c r="J159" s="1">
        <v>9350.0</v>
      </c>
      <c r="K159" s="1">
        <v>21437.0</v>
      </c>
    </row>
    <row r="160">
      <c r="A160" s="1" t="s">
        <v>11</v>
      </c>
      <c r="B160" s="1" t="s">
        <v>171</v>
      </c>
      <c r="C160" s="1" t="s">
        <v>13</v>
      </c>
      <c r="D160" s="2">
        <v>45974.63075231481</v>
      </c>
      <c r="E160" s="3">
        <v>45974.0</v>
      </c>
      <c r="F160" s="3" t="str">
        <f t="shared" si="1"/>
        <v>November-2025</v>
      </c>
      <c r="G160" s="1">
        <v>15.0</v>
      </c>
      <c r="H160" s="1">
        <v>36400.0</v>
      </c>
      <c r="I160" s="1">
        <v>9100.0</v>
      </c>
      <c r="J160" s="1">
        <v>2000.0</v>
      </c>
      <c r="K160" s="1">
        <v>25300.0</v>
      </c>
    </row>
    <row r="161">
      <c r="A161" s="1" t="s">
        <v>11</v>
      </c>
      <c r="B161" s="1" t="s">
        <v>172</v>
      </c>
      <c r="C161" s="1" t="s">
        <v>13</v>
      </c>
      <c r="D161" s="2">
        <v>45974.75828703704</v>
      </c>
      <c r="E161" s="3">
        <v>45974.0</v>
      </c>
      <c r="F161" s="3" t="str">
        <f t="shared" si="1"/>
        <v>November-2025</v>
      </c>
      <c r="G161" s="1">
        <v>18.0</v>
      </c>
      <c r="H161" s="1">
        <v>27900.0</v>
      </c>
      <c r="I161" s="1">
        <v>5750.0</v>
      </c>
      <c r="J161" s="1">
        <v>4900.0</v>
      </c>
      <c r="K161" s="1">
        <v>17250.0</v>
      </c>
    </row>
    <row r="162">
      <c r="A162" s="1" t="s">
        <v>11</v>
      </c>
      <c r="B162" s="1" t="s">
        <v>173</v>
      </c>
      <c r="C162" s="1" t="s">
        <v>13</v>
      </c>
      <c r="D162" s="2">
        <v>45974.80165509259</v>
      </c>
      <c r="E162" s="3">
        <v>45974.0</v>
      </c>
      <c r="F162" s="3" t="str">
        <f t="shared" si="1"/>
        <v>November-2025</v>
      </c>
      <c r="G162" s="1">
        <v>19.0</v>
      </c>
      <c r="H162" s="1">
        <v>118600.0</v>
      </c>
      <c r="I162" s="1">
        <v>22653.0</v>
      </c>
      <c r="J162" s="1">
        <v>36990.0</v>
      </c>
      <c r="K162" s="1">
        <v>58957.0</v>
      </c>
    </row>
    <row r="163">
      <c r="A163" s="1" t="s">
        <v>11</v>
      </c>
      <c r="B163" s="1" t="s">
        <v>174</v>
      </c>
      <c r="C163" s="1" t="s">
        <v>13</v>
      </c>
      <c r="D163" s="2">
        <v>45974.80604166666</v>
      </c>
      <c r="E163" s="3">
        <v>45974.0</v>
      </c>
      <c r="F163" s="3" t="str">
        <f t="shared" si="1"/>
        <v>November-2025</v>
      </c>
      <c r="G163" s="1">
        <v>19.0</v>
      </c>
      <c r="H163" s="1">
        <v>30700.0</v>
      </c>
      <c r="I163" s="1">
        <v>5795.0</v>
      </c>
      <c r="J163" s="1">
        <v>9522.0</v>
      </c>
      <c r="K163" s="1">
        <v>15383.0</v>
      </c>
    </row>
    <row r="164">
      <c r="A164" s="1" t="s">
        <v>11</v>
      </c>
      <c r="B164" s="1" t="s">
        <v>175</v>
      </c>
      <c r="C164" s="1" t="s">
        <v>13</v>
      </c>
      <c r="D164" s="2">
        <v>45974.85537037037</v>
      </c>
      <c r="E164" s="3">
        <v>45974.0</v>
      </c>
      <c r="F164" s="3" t="str">
        <f t="shared" si="1"/>
        <v>November-2025</v>
      </c>
      <c r="G164" s="1">
        <v>20.0</v>
      </c>
      <c r="H164" s="1">
        <v>26500.0</v>
      </c>
      <c r="I164" s="1">
        <v>5400.0</v>
      </c>
      <c r="J164" s="1">
        <v>4900.0</v>
      </c>
      <c r="K164" s="1">
        <v>16200.0</v>
      </c>
    </row>
    <row r="165">
      <c r="A165" s="1" t="s">
        <v>11</v>
      </c>
      <c r="B165" s="1" t="s">
        <v>176</v>
      </c>
      <c r="C165" s="1" t="s">
        <v>13</v>
      </c>
      <c r="D165" s="2">
        <v>45974.87599537037</v>
      </c>
      <c r="E165" s="3">
        <v>45974.0</v>
      </c>
      <c r="F165" s="3" t="str">
        <f t="shared" si="1"/>
        <v>November-2025</v>
      </c>
      <c r="G165" s="1">
        <v>21.0</v>
      </c>
      <c r="H165" s="1">
        <v>56600.0</v>
      </c>
      <c r="I165" s="1">
        <v>11228.0</v>
      </c>
      <c r="J165" s="1">
        <v>15688.0</v>
      </c>
      <c r="K165" s="1">
        <v>29684.0</v>
      </c>
    </row>
    <row r="166">
      <c r="A166" s="1" t="s">
        <v>11</v>
      </c>
      <c r="B166" s="1" t="s">
        <v>177</v>
      </c>
      <c r="C166" s="1" t="s">
        <v>13</v>
      </c>
      <c r="D166" s="2">
        <v>45974.905648148146</v>
      </c>
      <c r="E166" s="3">
        <v>45974.0</v>
      </c>
      <c r="F166" s="3" t="str">
        <f t="shared" si="1"/>
        <v>November-2025</v>
      </c>
      <c r="G166" s="1">
        <v>21.0</v>
      </c>
      <c r="H166" s="1">
        <v>60200.0</v>
      </c>
      <c r="I166" s="1">
        <v>11942.0</v>
      </c>
      <c r="J166" s="1">
        <v>16432.0</v>
      </c>
      <c r="K166" s="1">
        <v>31826.0</v>
      </c>
    </row>
    <row r="167">
      <c r="A167" s="1" t="s">
        <v>11</v>
      </c>
      <c r="B167" s="1" t="s">
        <v>178</v>
      </c>
      <c r="C167" s="1" t="s">
        <v>13</v>
      </c>
      <c r="D167" s="2">
        <v>45974.930925925924</v>
      </c>
      <c r="E167" s="3">
        <v>45974.0</v>
      </c>
      <c r="F167" s="3" t="str">
        <f t="shared" si="1"/>
        <v>November-2025</v>
      </c>
      <c r="G167" s="1">
        <v>22.0</v>
      </c>
      <c r="H167" s="1">
        <v>23900.0</v>
      </c>
      <c r="I167" s="1">
        <v>4750.0</v>
      </c>
      <c r="J167" s="1">
        <v>4900.0</v>
      </c>
      <c r="K167" s="1">
        <v>14250.0</v>
      </c>
    </row>
    <row r="168">
      <c r="A168" s="1" t="s">
        <v>11</v>
      </c>
      <c r="B168" s="1" t="s">
        <v>179</v>
      </c>
      <c r="C168" s="1" t="s">
        <v>13</v>
      </c>
      <c r="D168" s="2">
        <v>45974.94540509259</v>
      </c>
      <c r="E168" s="3">
        <v>45974.0</v>
      </c>
      <c r="F168" s="3" t="str">
        <f t="shared" si="1"/>
        <v>November-2025</v>
      </c>
      <c r="G168" s="1">
        <v>22.0</v>
      </c>
      <c r="H168" s="1">
        <v>27900.0</v>
      </c>
      <c r="I168" s="1">
        <v>5750.0</v>
      </c>
      <c r="J168" s="1">
        <v>4900.0</v>
      </c>
      <c r="K168" s="1">
        <v>17250.0</v>
      </c>
    </row>
    <row r="169">
      <c r="A169" s="1" t="s">
        <v>11</v>
      </c>
      <c r="B169" s="1" t="s">
        <v>180</v>
      </c>
      <c r="C169" s="1" t="s">
        <v>13</v>
      </c>
      <c r="D169" s="2">
        <v>45974.95638888889</v>
      </c>
      <c r="E169" s="3">
        <v>45974.0</v>
      </c>
      <c r="F169" s="3" t="str">
        <f t="shared" si="1"/>
        <v>November-2025</v>
      </c>
      <c r="G169" s="1">
        <v>22.0</v>
      </c>
      <c r="H169" s="1">
        <v>51100.0</v>
      </c>
      <c r="I169" s="1">
        <v>10938.0</v>
      </c>
      <c r="J169" s="1">
        <v>11350.0</v>
      </c>
      <c r="K169" s="1">
        <v>28812.0</v>
      </c>
    </row>
    <row r="170">
      <c r="A170" s="1" t="s">
        <v>11</v>
      </c>
      <c r="B170" s="1" t="s">
        <v>181</v>
      </c>
      <c r="C170" s="1" t="s">
        <v>13</v>
      </c>
      <c r="D170" s="2">
        <v>45975.5405787037</v>
      </c>
      <c r="E170" s="3">
        <v>45975.0</v>
      </c>
      <c r="F170" s="3" t="str">
        <f t="shared" si="1"/>
        <v>November-2025</v>
      </c>
      <c r="G170" s="1">
        <v>12.0</v>
      </c>
      <c r="H170" s="1">
        <v>20300.0</v>
      </c>
      <c r="I170" s="1">
        <v>3850.0</v>
      </c>
      <c r="J170" s="1">
        <v>4900.0</v>
      </c>
      <c r="K170" s="1">
        <v>11550.0</v>
      </c>
    </row>
    <row r="171">
      <c r="A171" s="1" t="s">
        <v>11</v>
      </c>
      <c r="B171" s="1" t="s">
        <v>182</v>
      </c>
      <c r="C171" s="1" t="s">
        <v>13</v>
      </c>
      <c r="D171" s="2">
        <v>45975.72510416667</v>
      </c>
      <c r="E171" s="3">
        <v>45975.0</v>
      </c>
      <c r="F171" s="3" t="str">
        <f t="shared" si="1"/>
        <v>November-2025</v>
      </c>
      <c r="G171" s="1">
        <v>17.0</v>
      </c>
      <c r="H171" s="1">
        <v>35200.0</v>
      </c>
      <c r="I171" s="1">
        <v>7075.0</v>
      </c>
      <c r="J171" s="1">
        <v>8900.0</v>
      </c>
      <c r="K171" s="1">
        <v>19225.0</v>
      </c>
    </row>
    <row r="172">
      <c r="A172" s="1" t="s">
        <v>11</v>
      </c>
      <c r="B172" s="1" t="s">
        <v>183</v>
      </c>
      <c r="C172" s="1" t="s">
        <v>13</v>
      </c>
      <c r="D172" s="2">
        <v>45975.75991898148</v>
      </c>
      <c r="E172" s="3">
        <v>45975.0</v>
      </c>
      <c r="F172" s="3" t="str">
        <f t="shared" si="1"/>
        <v>November-2025</v>
      </c>
      <c r="G172" s="1">
        <v>18.0</v>
      </c>
      <c r="H172" s="1">
        <v>45100.0</v>
      </c>
      <c r="I172" s="1">
        <v>9438.0</v>
      </c>
      <c r="J172" s="1">
        <v>10350.0</v>
      </c>
      <c r="K172" s="1">
        <v>25312.0</v>
      </c>
    </row>
    <row r="173">
      <c r="A173" s="1" t="s">
        <v>11</v>
      </c>
      <c r="B173" s="1" t="s">
        <v>184</v>
      </c>
      <c r="C173" s="1" t="s">
        <v>13</v>
      </c>
      <c r="D173" s="2">
        <v>45975.78158564815</v>
      </c>
      <c r="E173" s="3">
        <v>45975.0</v>
      </c>
      <c r="F173" s="3" t="str">
        <f t="shared" si="1"/>
        <v>November-2025</v>
      </c>
      <c r="G173" s="1">
        <v>18.0</v>
      </c>
      <c r="H173" s="1">
        <v>123700.0</v>
      </c>
      <c r="I173" s="1">
        <v>23627.0</v>
      </c>
      <c r="J173" s="1">
        <v>38194.0</v>
      </c>
      <c r="K173" s="1">
        <v>61879.0</v>
      </c>
    </row>
    <row r="174">
      <c r="A174" s="1" t="s">
        <v>11</v>
      </c>
      <c r="B174" s="1" t="s">
        <v>185</v>
      </c>
      <c r="C174" s="1" t="s">
        <v>13</v>
      </c>
      <c r="D174" s="2">
        <v>45975.79636574074</v>
      </c>
      <c r="E174" s="3">
        <v>45975.0</v>
      </c>
      <c r="F174" s="3" t="str">
        <f t="shared" si="1"/>
        <v>November-2025</v>
      </c>
      <c r="G174" s="1">
        <v>19.0</v>
      </c>
      <c r="H174" s="1">
        <v>51600.0</v>
      </c>
      <c r="I174" s="1">
        <v>10236.0</v>
      </c>
      <c r="J174" s="1">
        <v>14656.0</v>
      </c>
      <c r="K174" s="1">
        <v>26708.0</v>
      </c>
    </row>
    <row r="175">
      <c r="A175" s="1" t="s">
        <v>11</v>
      </c>
      <c r="B175" s="1" t="s">
        <v>186</v>
      </c>
      <c r="C175" s="1" t="s">
        <v>13</v>
      </c>
      <c r="D175" s="2">
        <v>45975.807604166665</v>
      </c>
      <c r="E175" s="3">
        <v>45975.0</v>
      </c>
      <c r="F175" s="3" t="str">
        <f t="shared" si="1"/>
        <v>November-2025</v>
      </c>
      <c r="G175" s="1">
        <v>19.0</v>
      </c>
      <c r="H175" s="1">
        <v>40600.0</v>
      </c>
      <c r="I175" s="1">
        <v>8313.0</v>
      </c>
      <c r="J175" s="1">
        <v>10350.0</v>
      </c>
      <c r="K175" s="1">
        <v>21937.0</v>
      </c>
    </row>
    <row r="176">
      <c r="A176" s="1" t="s">
        <v>11</v>
      </c>
      <c r="B176" s="1" t="s">
        <v>187</v>
      </c>
      <c r="C176" s="1" t="s">
        <v>13</v>
      </c>
      <c r="D176" s="2">
        <v>45975.83730324074</v>
      </c>
      <c r="E176" s="3">
        <v>45975.0</v>
      </c>
      <c r="F176" s="3" t="str">
        <f t="shared" si="1"/>
        <v>November-2025</v>
      </c>
      <c r="G176" s="1">
        <v>20.0</v>
      </c>
      <c r="H176" s="1">
        <v>17900.0</v>
      </c>
      <c r="I176" s="1">
        <v>3379.0</v>
      </c>
      <c r="J176" s="1">
        <v>4386.0</v>
      </c>
      <c r="K176" s="1">
        <v>10135.0</v>
      </c>
    </row>
    <row r="177">
      <c r="A177" s="1" t="s">
        <v>11</v>
      </c>
      <c r="B177" s="1" t="s">
        <v>188</v>
      </c>
      <c r="C177" s="1" t="s">
        <v>13</v>
      </c>
      <c r="D177" s="2">
        <v>45975.9503125</v>
      </c>
      <c r="E177" s="3">
        <v>45975.0</v>
      </c>
      <c r="F177" s="3" t="str">
        <f t="shared" si="1"/>
        <v>November-2025</v>
      </c>
      <c r="G177" s="1">
        <v>22.0</v>
      </c>
      <c r="H177" s="1">
        <v>22900.0</v>
      </c>
      <c r="I177" s="1">
        <v>4500.0</v>
      </c>
      <c r="J177" s="1">
        <v>4900.0</v>
      </c>
      <c r="K177" s="1">
        <v>13500.0</v>
      </c>
    </row>
    <row r="178">
      <c r="A178" s="1" t="s">
        <v>11</v>
      </c>
      <c r="B178" s="1" t="s">
        <v>189</v>
      </c>
      <c r="C178" s="1" t="s">
        <v>13</v>
      </c>
      <c r="D178" s="2">
        <v>45976.48771990741</v>
      </c>
      <c r="E178" s="3">
        <v>45976.0</v>
      </c>
      <c r="F178" s="3" t="str">
        <f t="shared" si="1"/>
        <v>November-2025</v>
      </c>
      <c r="G178" s="1">
        <v>11.0</v>
      </c>
      <c r="H178" s="1">
        <v>54100.0</v>
      </c>
      <c r="I178" s="1">
        <v>10732.0</v>
      </c>
      <c r="J178" s="1">
        <v>15172.0</v>
      </c>
      <c r="K178" s="1">
        <v>28196.0</v>
      </c>
    </row>
    <row r="179">
      <c r="A179" s="1" t="s">
        <v>11</v>
      </c>
      <c r="B179" s="1" t="s">
        <v>190</v>
      </c>
      <c r="C179" s="1" t="s">
        <v>13</v>
      </c>
      <c r="D179" s="2">
        <v>45976.50792824074</v>
      </c>
      <c r="E179" s="3">
        <v>45976.0</v>
      </c>
      <c r="F179" s="3" t="str">
        <f t="shared" si="1"/>
        <v>November-2025</v>
      </c>
      <c r="G179" s="1">
        <v>12.0</v>
      </c>
      <c r="H179" s="1">
        <v>23900.0</v>
      </c>
      <c r="I179" s="1">
        <v>4750.0</v>
      </c>
      <c r="J179" s="1">
        <v>4900.0</v>
      </c>
      <c r="K179" s="1">
        <v>14250.0</v>
      </c>
    </row>
    <row r="180">
      <c r="A180" s="1" t="s">
        <v>11</v>
      </c>
      <c r="B180" s="1" t="s">
        <v>191</v>
      </c>
      <c r="C180" s="1" t="s">
        <v>13</v>
      </c>
      <c r="D180" s="2">
        <v>45976.50984953704</v>
      </c>
      <c r="E180" s="3">
        <v>45976.0</v>
      </c>
      <c r="F180" s="3" t="str">
        <f t="shared" si="1"/>
        <v>November-2025</v>
      </c>
      <c r="G180" s="1">
        <v>12.0</v>
      </c>
      <c r="H180" s="1">
        <v>22900.0</v>
      </c>
      <c r="I180" s="1">
        <v>5725.0</v>
      </c>
      <c r="J180" s="1">
        <v>0.0</v>
      </c>
      <c r="K180" s="1">
        <v>17175.0</v>
      </c>
    </row>
    <row r="181">
      <c r="A181" s="1" t="s">
        <v>11</v>
      </c>
      <c r="B181" s="1" t="s">
        <v>192</v>
      </c>
      <c r="C181" s="1" t="s">
        <v>13</v>
      </c>
      <c r="D181" s="2">
        <v>45976.55635416666</v>
      </c>
      <c r="E181" s="3">
        <v>45976.0</v>
      </c>
      <c r="F181" s="3" t="str">
        <f t="shared" si="1"/>
        <v>November-2025</v>
      </c>
      <c r="G181" s="1">
        <v>13.0</v>
      </c>
      <c r="H181" s="1">
        <v>23900.0</v>
      </c>
      <c r="I181" s="1">
        <v>4750.0</v>
      </c>
      <c r="J181" s="1">
        <v>4900.0</v>
      </c>
      <c r="K181" s="1">
        <v>14250.0</v>
      </c>
    </row>
    <row r="182">
      <c r="A182" s="1" t="s">
        <v>11</v>
      </c>
      <c r="B182" s="1" t="s">
        <v>193</v>
      </c>
      <c r="C182" s="1" t="s">
        <v>13</v>
      </c>
      <c r="D182" s="2">
        <v>45976.72111111111</v>
      </c>
      <c r="E182" s="3">
        <v>45976.0</v>
      </c>
      <c r="F182" s="3" t="str">
        <f t="shared" si="1"/>
        <v>November-2025</v>
      </c>
      <c r="G182" s="1">
        <v>17.0</v>
      </c>
      <c r="H182" s="1">
        <v>22900.0</v>
      </c>
      <c r="I182" s="1">
        <v>4500.0</v>
      </c>
      <c r="J182" s="1">
        <v>4900.0</v>
      </c>
      <c r="K182" s="1">
        <v>13500.0</v>
      </c>
    </row>
    <row r="183">
      <c r="A183" s="1" t="s">
        <v>11</v>
      </c>
      <c r="B183" s="1" t="s">
        <v>194</v>
      </c>
      <c r="C183" s="1" t="s">
        <v>13</v>
      </c>
      <c r="D183" s="2">
        <v>45976.742372685185</v>
      </c>
      <c r="E183" s="3">
        <v>45976.0</v>
      </c>
      <c r="F183" s="3" t="str">
        <f t="shared" si="1"/>
        <v>November-2025</v>
      </c>
      <c r="G183" s="1">
        <v>17.0</v>
      </c>
      <c r="H183" s="1">
        <v>87400.0</v>
      </c>
      <c r="I183" s="1">
        <v>17338.0</v>
      </c>
      <c r="J183" s="1">
        <v>22049.0</v>
      </c>
      <c r="K183" s="1">
        <v>48013.0</v>
      </c>
    </row>
    <row r="184">
      <c r="A184" s="1" t="s">
        <v>11</v>
      </c>
      <c r="B184" s="1" t="s">
        <v>195</v>
      </c>
      <c r="C184" s="1" t="s">
        <v>13</v>
      </c>
      <c r="D184" s="2">
        <v>45976.77600694444</v>
      </c>
      <c r="E184" s="3">
        <v>45976.0</v>
      </c>
      <c r="F184" s="3" t="str">
        <f t="shared" si="1"/>
        <v>November-2025</v>
      </c>
      <c r="G184" s="1">
        <v>18.0</v>
      </c>
      <c r="H184" s="1">
        <v>22500.0</v>
      </c>
      <c r="I184" s="1">
        <v>4400.0</v>
      </c>
      <c r="J184" s="1">
        <v>4900.0</v>
      </c>
      <c r="K184" s="1">
        <v>13200.0</v>
      </c>
    </row>
    <row r="185">
      <c r="A185" s="1" t="s">
        <v>11</v>
      </c>
      <c r="B185" s="1" t="s">
        <v>196</v>
      </c>
      <c r="C185" s="1" t="s">
        <v>13</v>
      </c>
      <c r="D185" s="2">
        <v>45976.78262731482</v>
      </c>
      <c r="E185" s="3">
        <v>45976.0</v>
      </c>
      <c r="F185" s="3" t="str">
        <f t="shared" si="1"/>
        <v>November-2025</v>
      </c>
      <c r="G185" s="1">
        <v>18.0</v>
      </c>
      <c r="H185" s="1">
        <v>50400.0</v>
      </c>
      <c r="I185" s="1">
        <v>9998.0</v>
      </c>
      <c r="J185" s="1">
        <v>14408.0</v>
      </c>
      <c r="K185" s="1">
        <v>25994.0</v>
      </c>
    </row>
    <row r="186">
      <c r="A186" s="1" t="s">
        <v>11</v>
      </c>
      <c r="B186" s="1" t="s">
        <v>197</v>
      </c>
      <c r="C186" s="1" t="s">
        <v>13</v>
      </c>
      <c r="D186" s="2">
        <v>45976.80142361111</v>
      </c>
      <c r="E186" s="3">
        <v>45976.0</v>
      </c>
      <c r="F186" s="3" t="str">
        <f t="shared" si="1"/>
        <v>November-2025</v>
      </c>
      <c r="G186" s="1">
        <v>19.0</v>
      </c>
      <c r="H186" s="1">
        <v>30700.0</v>
      </c>
      <c r="I186" s="1">
        <v>6171.0</v>
      </c>
      <c r="J186" s="1">
        <v>8018.0</v>
      </c>
      <c r="K186" s="1">
        <v>16511.0</v>
      </c>
    </row>
    <row r="187">
      <c r="A187" s="1" t="s">
        <v>11</v>
      </c>
      <c r="B187" s="1" t="s">
        <v>198</v>
      </c>
      <c r="C187" s="1" t="s">
        <v>13</v>
      </c>
      <c r="D187" s="2">
        <v>45976.80552083333</v>
      </c>
      <c r="E187" s="3">
        <v>45976.0</v>
      </c>
      <c r="F187" s="3" t="str">
        <f t="shared" si="1"/>
        <v>November-2025</v>
      </c>
      <c r="G187" s="1">
        <v>19.0</v>
      </c>
      <c r="H187" s="1">
        <v>45800.0</v>
      </c>
      <c r="I187" s="1">
        <v>9613.0</v>
      </c>
      <c r="J187" s="1">
        <v>10350.0</v>
      </c>
      <c r="K187" s="1">
        <v>25837.0</v>
      </c>
    </row>
    <row r="188">
      <c r="A188" s="1" t="s">
        <v>11</v>
      </c>
      <c r="B188" s="1" t="s">
        <v>199</v>
      </c>
      <c r="C188" s="1" t="s">
        <v>13</v>
      </c>
      <c r="D188" s="2">
        <v>45976.80831018519</v>
      </c>
      <c r="E188" s="3">
        <v>45976.0</v>
      </c>
      <c r="F188" s="3" t="str">
        <f t="shared" si="1"/>
        <v>November-2025</v>
      </c>
      <c r="G188" s="1">
        <v>19.0</v>
      </c>
      <c r="H188" s="1">
        <v>33800.0</v>
      </c>
      <c r="I188" s="1">
        <v>6794.0</v>
      </c>
      <c r="J188" s="1">
        <v>8625.0</v>
      </c>
      <c r="K188" s="1">
        <v>18381.0</v>
      </c>
    </row>
    <row r="189">
      <c r="A189" s="1" t="s">
        <v>11</v>
      </c>
      <c r="B189" s="1" t="s">
        <v>200</v>
      </c>
      <c r="C189" s="1" t="s">
        <v>13</v>
      </c>
      <c r="D189" s="2">
        <v>45976.81537037037</v>
      </c>
      <c r="E189" s="3">
        <v>45976.0</v>
      </c>
      <c r="F189" s="3" t="str">
        <f t="shared" si="1"/>
        <v>November-2025</v>
      </c>
      <c r="G189" s="1">
        <v>19.0</v>
      </c>
      <c r="H189" s="1">
        <v>23900.0</v>
      </c>
      <c r="I189" s="1">
        <v>5975.0</v>
      </c>
      <c r="J189" s="1">
        <v>0.0</v>
      </c>
      <c r="K189" s="1">
        <v>17925.0</v>
      </c>
    </row>
    <row r="190">
      <c r="A190" s="1" t="s">
        <v>11</v>
      </c>
      <c r="B190" s="1" t="s">
        <v>201</v>
      </c>
      <c r="C190" s="1" t="s">
        <v>13</v>
      </c>
      <c r="D190" s="2">
        <v>45976.9377662037</v>
      </c>
      <c r="E190" s="3">
        <v>45976.0</v>
      </c>
      <c r="F190" s="3" t="str">
        <f t="shared" si="1"/>
        <v>November-2025</v>
      </c>
      <c r="G190" s="1">
        <v>22.0</v>
      </c>
      <c r="H190" s="1">
        <v>27900.0</v>
      </c>
      <c r="I190" s="1">
        <v>5750.0</v>
      </c>
      <c r="J190" s="1">
        <v>4900.0</v>
      </c>
      <c r="K190" s="1">
        <v>17250.0</v>
      </c>
    </row>
    <row r="191">
      <c r="A191" s="1" t="s">
        <v>11</v>
      </c>
      <c r="B191" s="1" t="s">
        <v>202</v>
      </c>
      <c r="C191" s="1" t="s">
        <v>13</v>
      </c>
      <c r="D191" s="2">
        <v>45977.48295138889</v>
      </c>
      <c r="E191" s="3">
        <v>45977.0</v>
      </c>
      <c r="F191" s="3" t="str">
        <f t="shared" si="1"/>
        <v>November-2025</v>
      </c>
      <c r="G191" s="1">
        <v>11.0</v>
      </c>
      <c r="H191" s="1">
        <v>32700.0</v>
      </c>
      <c r="I191" s="1">
        <v>6573.0</v>
      </c>
      <c r="J191" s="1">
        <v>8410.0</v>
      </c>
      <c r="K191" s="1">
        <v>17717.0</v>
      </c>
    </row>
    <row r="192">
      <c r="A192" s="1" t="s">
        <v>11</v>
      </c>
      <c r="B192" s="1" t="s">
        <v>203</v>
      </c>
      <c r="C192" s="1" t="s">
        <v>13</v>
      </c>
      <c r="D192" s="2">
        <v>45977.54886574074</v>
      </c>
      <c r="E192" s="3">
        <v>45977.0</v>
      </c>
      <c r="F192" s="3" t="str">
        <f t="shared" si="1"/>
        <v>November-2025</v>
      </c>
      <c r="G192" s="1">
        <v>13.0</v>
      </c>
      <c r="H192" s="1">
        <v>26500.0</v>
      </c>
      <c r="I192" s="1">
        <v>5400.0</v>
      </c>
      <c r="J192" s="1">
        <v>4900.0</v>
      </c>
      <c r="K192" s="1">
        <v>16200.0</v>
      </c>
    </row>
    <row r="193">
      <c r="A193" s="1" t="s">
        <v>11</v>
      </c>
      <c r="B193" s="1" t="s">
        <v>204</v>
      </c>
      <c r="C193" s="1" t="s">
        <v>13</v>
      </c>
      <c r="D193" s="2">
        <v>45977.61068287037</v>
      </c>
      <c r="E193" s="3">
        <v>45977.0</v>
      </c>
      <c r="F193" s="3" t="str">
        <f t="shared" si="1"/>
        <v>November-2025</v>
      </c>
      <c r="G193" s="1">
        <v>14.0</v>
      </c>
      <c r="H193" s="1">
        <v>38800.0</v>
      </c>
      <c r="I193" s="1">
        <v>7863.0</v>
      </c>
      <c r="J193" s="1">
        <v>9350.0</v>
      </c>
      <c r="K193" s="1">
        <v>21587.0</v>
      </c>
    </row>
    <row r="194">
      <c r="A194" s="1" t="s">
        <v>11</v>
      </c>
      <c r="B194" s="1" t="s">
        <v>205</v>
      </c>
      <c r="C194" s="1" t="s">
        <v>13</v>
      </c>
      <c r="D194" s="2">
        <v>45977.65429398148</v>
      </c>
      <c r="E194" s="3">
        <v>45977.0</v>
      </c>
      <c r="F194" s="3" t="str">
        <f t="shared" si="1"/>
        <v>November-2025</v>
      </c>
      <c r="G194" s="1">
        <v>15.0</v>
      </c>
      <c r="H194" s="1">
        <v>33800.0</v>
      </c>
      <c r="I194" s="1">
        <v>6613.0</v>
      </c>
      <c r="J194" s="1">
        <v>9350.0</v>
      </c>
      <c r="K194" s="1">
        <v>17837.0</v>
      </c>
    </row>
    <row r="195">
      <c r="A195" s="1" t="s">
        <v>11</v>
      </c>
      <c r="B195" s="1" t="s">
        <v>206</v>
      </c>
      <c r="C195" s="1" t="s">
        <v>13</v>
      </c>
      <c r="D195" s="2">
        <v>45977.65875</v>
      </c>
      <c r="E195" s="3">
        <v>45977.0</v>
      </c>
      <c r="F195" s="3" t="str">
        <f t="shared" si="1"/>
        <v>November-2025</v>
      </c>
      <c r="G195" s="1">
        <v>15.0</v>
      </c>
      <c r="H195" s="1">
        <v>48800.0</v>
      </c>
      <c r="I195" s="1">
        <v>10363.0</v>
      </c>
      <c r="J195" s="1">
        <v>10350.0</v>
      </c>
      <c r="K195" s="1">
        <v>28087.0</v>
      </c>
    </row>
    <row r="196">
      <c r="A196" s="1" t="s">
        <v>11</v>
      </c>
      <c r="B196" s="1" t="s">
        <v>207</v>
      </c>
      <c r="C196" s="1" t="s">
        <v>13</v>
      </c>
      <c r="D196" s="2">
        <v>45977.669490740744</v>
      </c>
      <c r="E196" s="3">
        <v>45977.0</v>
      </c>
      <c r="F196" s="3" t="str">
        <f t="shared" si="1"/>
        <v>November-2025</v>
      </c>
      <c r="G196" s="1">
        <v>16.0</v>
      </c>
      <c r="H196" s="1">
        <v>47800.0</v>
      </c>
      <c r="I196" s="1">
        <v>10113.0</v>
      </c>
      <c r="J196" s="1">
        <v>10350.0</v>
      </c>
      <c r="K196" s="1">
        <v>27337.0</v>
      </c>
    </row>
    <row r="197">
      <c r="A197" s="1" t="s">
        <v>11</v>
      </c>
      <c r="B197" s="1" t="s">
        <v>208</v>
      </c>
      <c r="C197" s="1" t="s">
        <v>13</v>
      </c>
      <c r="D197" s="2">
        <v>45977.72920138889</v>
      </c>
      <c r="E197" s="3">
        <v>45977.0</v>
      </c>
      <c r="F197" s="3" t="str">
        <f t="shared" si="1"/>
        <v>November-2025</v>
      </c>
      <c r="G197" s="1">
        <v>17.0</v>
      </c>
      <c r="H197" s="1">
        <v>58600.0</v>
      </c>
      <c r="I197" s="1">
        <v>11625.0</v>
      </c>
      <c r="J197" s="1">
        <v>15101.0</v>
      </c>
      <c r="K197" s="1">
        <v>31874.0</v>
      </c>
    </row>
    <row r="198">
      <c r="A198" s="1" t="s">
        <v>11</v>
      </c>
      <c r="B198" s="1" t="s">
        <v>209</v>
      </c>
      <c r="C198" s="1" t="s">
        <v>13</v>
      </c>
      <c r="D198" s="2">
        <v>45977.748090277775</v>
      </c>
      <c r="E198" s="3">
        <v>45977.0</v>
      </c>
      <c r="F198" s="3" t="str">
        <f t="shared" si="1"/>
        <v>November-2025</v>
      </c>
      <c r="G198" s="1">
        <v>17.0</v>
      </c>
      <c r="H198" s="1">
        <v>26500.0</v>
      </c>
      <c r="I198" s="1">
        <v>5400.0</v>
      </c>
      <c r="J198" s="1">
        <v>4900.0</v>
      </c>
      <c r="K198" s="1">
        <v>16200.0</v>
      </c>
    </row>
    <row r="199">
      <c r="A199" s="1" t="s">
        <v>11</v>
      </c>
      <c r="B199" s="1" t="s">
        <v>210</v>
      </c>
      <c r="C199" s="1" t="s">
        <v>13</v>
      </c>
      <c r="D199" s="2">
        <v>45977.76295138889</v>
      </c>
      <c r="E199" s="3">
        <v>45977.0</v>
      </c>
      <c r="F199" s="3" t="str">
        <f t="shared" si="1"/>
        <v>November-2025</v>
      </c>
      <c r="G199" s="1">
        <v>18.0</v>
      </c>
      <c r="H199" s="1">
        <v>16900.0</v>
      </c>
      <c r="I199" s="1">
        <v>3190.0</v>
      </c>
      <c r="J199" s="1">
        <v>4141.0</v>
      </c>
      <c r="K199" s="1">
        <v>9569.0</v>
      </c>
    </row>
    <row r="200">
      <c r="A200" s="1" t="s">
        <v>11</v>
      </c>
      <c r="B200" s="1" t="s">
        <v>211</v>
      </c>
      <c r="C200" s="1" t="s">
        <v>13</v>
      </c>
      <c r="D200" s="2">
        <v>45977.76542824074</v>
      </c>
      <c r="E200" s="3">
        <v>45977.0</v>
      </c>
      <c r="F200" s="3" t="str">
        <f t="shared" si="1"/>
        <v>November-2025</v>
      </c>
      <c r="G200" s="1">
        <v>18.0</v>
      </c>
      <c r="H200" s="1">
        <v>33200.0</v>
      </c>
      <c r="I200" s="1">
        <v>6673.0</v>
      </c>
      <c r="J200" s="1">
        <v>8508.0</v>
      </c>
      <c r="K200" s="1">
        <v>18019.0</v>
      </c>
    </row>
    <row r="201">
      <c r="A201" s="1" t="s">
        <v>11</v>
      </c>
      <c r="B201" s="1" t="s">
        <v>212</v>
      </c>
      <c r="C201" s="1" t="s">
        <v>13</v>
      </c>
      <c r="D201" s="2">
        <v>45977.878333333334</v>
      </c>
      <c r="E201" s="3">
        <v>45977.0</v>
      </c>
      <c r="F201" s="3" t="str">
        <f t="shared" si="1"/>
        <v>November-2025</v>
      </c>
      <c r="G201" s="1">
        <v>21.0</v>
      </c>
      <c r="H201" s="1">
        <v>26900.0</v>
      </c>
      <c r="I201" s="1">
        <v>5500.0</v>
      </c>
      <c r="J201" s="1">
        <v>4900.0</v>
      </c>
      <c r="K201" s="1">
        <v>16500.0</v>
      </c>
    </row>
    <row r="202">
      <c r="A202" s="1" t="s">
        <v>11</v>
      </c>
      <c r="B202" s="1" t="s">
        <v>213</v>
      </c>
      <c r="C202" s="1" t="s">
        <v>13</v>
      </c>
      <c r="D202" s="2">
        <v>45977.88548611111</v>
      </c>
      <c r="E202" s="3">
        <v>45977.0</v>
      </c>
      <c r="F202" s="3" t="str">
        <f t="shared" si="1"/>
        <v>November-2025</v>
      </c>
      <c r="G202" s="1">
        <v>21.0</v>
      </c>
      <c r="H202" s="1">
        <v>53000.0</v>
      </c>
      <c r="I202" s="1">
        <v>10514.0</v>
      </c>
      <c r="J202" s="1">
        <v>14945.0</v>
      </c>
      <c r="K202" s="1">
        <v>27541.0</v>
      </c>
    </row>
    <row r="203">
      <c r="A203" s="1" t="s">
        <v>11</v>
      </c>
      <c r="B203" s="1" t="s">
        <v>214</v>
      </c>
      <c r="C203" s="1" t="s">
        <v>13</v>
      </c>
      <c r="D203" s="2">
        <v>45978.49175925926</v>
      </c>
      <c r="E203" s="3">
        <v>45978.0</v>
      </c>
      <c r="F203" s="3" t="str">
        <f t="shared" si="1"/>
        <v>November-2025</v>
      </c>
      <c r="G203" s="1">
        <v>11.0</v>
      </c>
      <c r="H203" s="1">
        <v>22500.0</v>
      </c>
      <c r="I203" s="1">
        <v>4400.0</v>
      </c>
      <c r="J203" s="1">
        <v>4900.0</v>
      </c>
      <c r="K203" s="1">
        <v>13200.0</v>
      </c>
    </row>
    <row r="204">
      <c r="A204" s="1" t="s">
        <v>11</v>
      </c>
      <c r="B204" s="1" t="s">
        <v>215</v>
      </c>
      <c r="C204" s="1" t="s">
        <v>13</v>
      </c>
      <c r="D204" s="2">
        <v>45978.57850694445</v>
      </c>
      <c r="E204" s="3">
        <v>45978.0</v>
      </c>
      <c r="F204" s="3" t="str">
        <f t="shared" si="1"/>
        <v>November-2025</v>
      </c>
      <c r="G204" s="1">
        <v>13.0</v>
      </c>
      <c r="H204" s="1">
        <v>34100.0</v>
      </c>
      <c r="I204" s="1">
        <v>8525.0</v>
      </c>
      <c r="J204" s="1">
        <v>2000.0</v>
      </c>
      <c r="K204" s="1">
        <v>23575.0</v>
      </c>
    </row>
    <row r="205">
      <c r="A205" s="1" t="s">
        <v>11</v>
      </c>
      <c r="B205" s="1" t="s">
        <v>216</v>
      </c>
      <c r="C205" s="1" t="s">
        <v>13</v>
      </c>
      <c r="D205" s="2">
        <v>45978.59162037037</v>
      </c>
      <c r="E205" s="3">
        <v>45978.0</v>
      </c>
      <c r="F205" s="3" t="str">
        <f t="shared" si="1"/>
        <v>November-2025</v>
      </c>
      <c r="G205" s="1">
        <v>14.0</v>
      </c>
      <c r="H205" s="1">
        <v>42700.0</v>
      </c>
      <c r="I205" s="1">
        <v>8838.0</v>
      </c>
      <c r="J205" s="1">
        <v>10350.0</v>
      </c>
      <c r="K205" s="1">
        <v>23512.0</v>
      </c>
    </row>
    <row r="206">
      <c r="A206" s="1" t="s">
        <v>11</v>
      </c>
      <c r="B206" s="1" t="s">
        <v>217</v>
      </c>
      <c r="C206" s="1" t="s">
        <v>13</v>
      </c>
      <c r="D206" s="2">
        <v>45978.675520833334</v>
      </c>
      <c r="E206" s="3">
        <v>45978.0</v>
      </c>
      <c r="F206" s="3" t="str">
        <f t="shared" si="1"/>
        <v>November-2025</v>
      </c>
      <c r="G206" s="1">
        <v>16.0</v>
      </c>
      <c r="H206" s="1">
        <v>35300.0</v>
      </c>
      <c r="I206" s="1">
        <v>7096.0</v>
      </c>
      <c r="J206" s="1">
        <v>8919.0</v>
      </c>
      <c r="K206" s="1">
        <v>19285.0</v>
      </c>
    </row>
    <row r="207">
      <c r="A207" s="1" t="s">
        <v>11</v>
      </c>
      <c r="B207" s="1" t="s">
        <v>218</v>
      </c>
      <c r="C207" s="1" t="s">
        <v>13</v>
      </c>
      <c r="D207" s="2">
        <v>45978.72692129629</v>
      </c>
      <c r="E207" s="3">
        <v>45978.0</v>
      </c>
      <c r="F207" s="3" t="str">
        <f t="shared" si="1"/>
        <v>November-2025</v>
      </c>
      <c r="G207" s="1">
        <v>17.0</v>
      </c>
      <c r="H207" s="1">
        <v>34000.0</v>
      </c>
      <c r="I207" s="1">
        <v>7275.0</v>
      </c>
      <c r="J207" s="1">
        <v>6900.0</v>
      </c>
      <c r="K207" s="1">
        <v>19825.0</v>
      </c>
    </row>
    <row r="208">
      <c r="A208" s="1" t="s">
        <v>11</v>
      </c>
      <c r="B208" s="1" t="s">
        <v>219</v>
      </c>
      <c r="C208" s="1" t="s">
        <v>13</v>
      </c>
      <c r="D208" s="2">
        <v>45978.74270833333</v>
      </c>
      <c r="E208" s="3">
        <v>45978.0</v>
      </c>
      <c r="F208" s="3" t="str">
        <f t="shared" si="1"/>
        <v>November-2025</v>
      </c>
      <c r="G208" s="1">
        <v>17.0</v>
      </c>
      <c r="H208" s="1">
        <v>54300.0</v>
      </c>
      <c r="I208" s="1">
        <v>10772.0</v>
      </c>
      <c r="J208" s="1">
        <v>15213.0</v>
      </c>
      <c r="K208" s="1">
        <v>28315.0</v>
      </c>
    </row>
    <row r="209">
      <c r="A209" s="1" t="s">
        <v>11</v>
      </c>
      <c r="B209" s="1" t="s">
        <v>220</v>
      </c>
      <c r="C209" s="1" t="s">
        <v>13</v>
      </c>
      <c r="D209" s="2">
        <v>45978.76050925926</v>
      </c>
      <c r="E209" s="3">
        <v>45978.0</v>
      </c>
      <c r="F209" s="3" t="str">
        <f t="shared" si="1"/>
        <v>November-2025</v>
      </c>
      <c r="G209" s="1">
        <v>18.0</v>
      </c>
      <c r="H209" s="1">
        <v>35500.0</v>
      </c>
      <c r="I209" s="1">
        <v>7136.0</v>
      </c>
      <c r="J209" s="1">
        <v>8958.0</v>
      </c>
      <c r="K209" s="1">
        <v>19406.0</v>
      </c>
    </row>
    <row r="210">
      <c r="A210" s="1" t="s">
        <v>11</v>
      </c>
      <c r="B210" s="1" t="s">
        <v>221</v>
      </c>
      <c r="C210" s="1" t="s">
        <v>13</v>
      </c>
      <c r="D210" s="2">
        <v>45978.779340277775</v>
      </c>
      <c r="E210" s="3">
        <v>45978.0</v>
      </c>
      <c r="F210" s="3" t="str">
        <f t="shared" si="1"/>
        <v>November-2025</v>
      </c>
      <c r="G210" s="1">
        <v>18.0</v>
      </c>
      <c r="H210" s="1">
        <v>16900.0</v>
      </c>
      <c r="I210" s="1">
        <v>3397.0</v>
      </c>
      <c r="J210" s="1">
        <v>3313.0</v>
      </c>
      <c r="K210" s="1">
        <v>10190.0</v>
      </c>
    </row>
    <row r="211">
      <c r="A211" s="1" t="s">
        <v>11</v>
      </c>
      <c r="B211" s="1" t="s">
        <v>222</v>
      </c>
      <c r="C211" s="1" t="s">
        <v>13</v>
      </c>
      <c r="D211" s="2">
        <v>45978.87886574074</v>
      </c>
      <c r="E211" s="3">
        <v>45978.0</v>
      </c>
      <c r="F211" s="3" t="str">
        <f t="shared" si="1"/>
        <v>November-2025</v>
      </c>
      <c r="G211" s="1">
        <v>21.0</v>
      </c>
      <c r="H211" s="1">
        <v>31200.0</v>
      </c>
      <c r="I211" s="1">
        <v>6271.0</v>
      </c>
      <c r="J211" s="1">
        <v>8116.0</v>
      </c>
      <c r="K211" s="1">
        <v>16813.0</v>
      </c>
    </row>
    <row r="212">
      <c r="A212" s="1" t="s">
        <v>11</v>
      </c>
      <c r="B212" s="1" t="s">
        <v>223</v>
      </c>
      <c r="C212" s="1" t="s">
        <v>13</v>
      </c>
      <c r="D212" s="2">
        <v>45978.897523148145</v>
      </c>
      <c r="E212" s="3">
        <v>45978.0</v>
      </c>
      <c r="F212" s="3" t="str">
        <f t="shared" si="1"/>
        <v>November-2025</v>
      </c>
      <c r="G212" s="1">
        <v>21.0</v>
      </c>
      <c r="H212" s="1">
        <v>53100.0</v>
      </c>
      <c r="I212" s="1">
        <v>10534.0</v>
      </c>
      <c r="J212" s="1">
        <v>14966.0</v>
      </c>
      <c r="K212" s="1">
        <v>27600.0</v>
      </c>
    </row>
    <row r="213">
      <c r="A213" s="1" t="s">
        <v>11</v>
      </c>
      <c r="B213" s="1" t="s">
        <v>224</v>
      </c>
      <c r="C213" s="1" t="s">
        <v>13</v>
      </c>
      <c r="D213" s="2">
        <v>45978.90607638889</v>
      </c>
      <c r="E213" s="3">
        <v>45978.0</v>
      </c>
      <c r="F213" s="3" t="str">
        <f t="shared" si="1"/>
        <v>November-2025</v>
      </c>
      <c r="G213" s="1">
        <v>21.0</v>
      </c>
      <c r="H213" s="1">
        <v>21900.0</v>
      </c>
      <c r="I213" s="1">
        <v>4250.0</v>
      </c>
      <c r="J213" s="1">
        <v>4900.0</v>
      </c>
      <c r="K213" s="1">
        <v>12750.0</v>
      </c>
    </row>
    <row r="214">
      <c r="A214" s="1" t="s">
        <v>11</v>
      </c>
      <c r="B214" s="1" t="s">
        <v>225</v>
      </c>
      <c r="C214" s="1" t="s">
        <v>13</v>
      </c>
      <c r="D214" s="2">
        <v>45978.919699074075</v>
      </c>
      <c r="E214" s="3">
        <v>45978.0</v>
      </c>
      <c r="F214" s="3" t="str">
        <f t="shared" si="1"/>
        <v>November-2025</v>
      </c>
      <c r="G214" s="1">
        <v>22.0</v>
      </c>
      <c r="H214" s="1">
        <v>44000.0</v>
      </c>
      <c r="I214" s="1">
        <v>9163.0</v>
      </c>
      <c r="J214" s="1">
        <v>10350.0</v>
      </c>
      <c r="K214" s="1">
        <v>24487.0</v>
      </c>
    </row>
    <row r="215">
      <c r="A215" s="1" t="s">
        <v>11</v>
      </c>
      <c r="B215" s="1" t="s">
        <v>226</v>
      </c>
      <c r="C215" s="1" t="s">
        <v>13</v>
      </c>
      <c r="D215" s="2">
        <v>45978.93168981482</v>
      </c>
      <c r="E215" s="3">
        <v>45978.0</v>
      </c>
      <c r="F215" s="3" t="str">
        <f t="shared" si="1"/>
        <v>November-2025</v>
      </c>
      <c r="G215" s="1">
        <v>22.0</v>
      </c>
      <c r="H215" s="1">
        <v>38600.0</v>
      </c>
      <c r="I215" s="1">
        <v>7813.0</v>
      </c>
      <c r="J215" s="1">
        <v>9350.0</v>
      </c>
      <c r="K215" s="1">
        <v>21437.0</v>
      </c>
    </row>
    <row r="216">
      <c r="A216" s="1" t="s">
        <v>11</v>
      </c>
      <c r="B216" s="1" t="s">
        <v>227</v>
      </c>
      <c r="C216" s="1" t="s">
        <v>13</v>
      </c>
      <c r="D216" s="2">
        <v>45979.55931712963</v>
      </c>
      <c r="E216" s="3">
        <v>45979.0</v>
      </c>
      <c r="F216" s="3" t="str">
        <f t="shared" si="1"/>
        <v>November-2025</v>
      </c>
      <c r="G216" s="1">
        <v>13.0</v>
      </c>
      <c r="H216" s="1">
        <v>26900.0</v>
      </c>
      <c r="I216" s="1">
        <v>5500.0</v>
      </c>
      <c r="J216" s="1">
        <v>4900.0</v>
      </c>
      <c r="K216" s="1">
        <v>16500.0</v>
      </c>
    </row>
    <row r="217">
      <c r="A217" s="1" t="s">
        <v>11</v>
      </c>
      <c r="B217" s="1" t="s">
        <v>228</v>
      </c>
      <c r="C217" s="1" t="s">
        <v>13</v>
      </c>
      <c r="D217" s="2">
        <v>45979.57927083333</v>
      </c>
      <c r="E217" s="3">
        <v>45979.0</v>
      </c>
      <c r="F217" s="3" t="str">
        <f t="shared" si="1"/>
        <v>November-2025</v>
      </c>
      <c r="G217" s="1">
        <v>13.0</v>
      </c>
      <c r="H217" s="1">
        <v>26900.0</v>
      </c>
      <c r="I217" s="1">
        <v>5500.0</v>
      </c>
      <c r="J217" s="1">
        <v>4900.0</v>
      </c>
      <c r="K217" s="1">
        <v>16500.0</v>
      </c>
    </row>
    <row r="218">
      <c r="A218" s="1" t="s">
        <v>11</v>
      </c>
      <c r="B218" s="1" t="s">
        <v>229</v>
      </c>
      <c r="C218" s="1" t="s">
        <v>13</v>
      </c>
      <c r="D218" s="2">
        <v>45979.72803240741</v>
      </c>
      <c r="E218" s="3">
        <v>45979.0</v>
      </c>
      <c r="F218" s="3" t="str">
        <f t="shared" si="1"/>
        <v>November-2025</v>
      </c>
      <c r="G218" s="1">
        <v>17.0</v>
      </c>
      <c r="H218" s="1">
        <v>21900.0</v>
      </c>
      <c r="I218" s="1">
        <v>4250.0</v>
      </c>
      <c r="J218" s="1">
        <v>4900.0</v>
      </c>
      <c r="K218" s="1">
        <v>12750.0</v>
      </c>
    </row>
    <row r="219">
      <c r="A219" s="1" t="s">
        <v>11</v>
      </c>
      <c r="B219" s="1" t="s">
        <v>230</v>
      </c>
      <c r="C219" s="1" t="s">
        <v>13</v>
      </c>
      <c r="D219" s="2">
        <v>45979.75366898148</v>
      </c>
      <c r="E219" s="3">
        <v>45979.0</v>
      </c>
      <c r="F219" s="3" t="str">
        <f t="shared" si="1"/>
        <v>November-2025</v>
      </c>
      <c r="G219" s="1">
        <v>18.0</v>
      </c>
      <c r="H219" s="1">
        <v>21900.0</v>
      </c>
      <c r="I219" s="1">
        <v>4250.0</v>
      </c>
      <c r="J219" s="1">
        <v>4900.0</v>
      </c>
      <c r="K219" s="1">
        <v>12750.0</v>
      </c>
    </row>
    <row r="220">
      <c r="A220" s="1" t="s">
        <v>11</v>
      </c>
      <c r="B220" s="1" t="s">
        <v>231</v>
      </c>
      <c r="C220" s="1" t="s">
        <v>13</v>
      </c>
      <c r="D220" s="2">
        <v>45979.78806712963</v>
      </c>
      <c r="E220" s="3">
        <v>45979.0</v>
      </c>
      <c r="F220" s="3" t="str">
        <f t="shared" si="1"/>
        <v>November-2025</v>
      </c>
      <c r="G220" s="1">
        <v>18.0</v>
      </c>
      <c r="H220" s="1">
        <v>156800.0</v>
      </c>
      <c r="I220" s="1">
        <v>29949.0</v>
      </c>
      <c r="J220" s="1">
        <v>46005.0</v>
      </c>
      <c r="K220" s="1">
        <v>80846.0</v>
      </c>
    </row>
    <row r="221">
      <c r="A221" s="1" t="s">
        <v>11</v>
      </c>
      <c r="B221" s="1" t="s">
        <v>232</v>
      </c>
      <c r="C221" s="1" t="s">
        <v>13</v>
      </c>
      <c r="D221" s="2">
        <v>45979.80606481482</v>
      </c>
      <c r="E221" s="3">
        <v>45979.0</v>
      </c>
      <c r="F221" s="3" t="str">
        <f t="shared" si="1"/>
        <v>November-2025</v>
      </c>
      <c r="G221" s="1">
        <v>19.0</v>
      </c>
      <c r="H221" s="1">
        <v>19800.0</v>
      </c>
      <c r="I221" s="1">
        <v>3738.0</v>
      </c>
      <c r="J221" s="1">
        <v>4851.0</v>
      </c>
      <c r="K221" s="1">
        <v>11211.0</v>
      </c>
    </row>
    <row r="222">
      <c r="A222" s="1" t="s">
        <v>11</v>
      </c>
      <c r="B222" s="1" t="s">
        <v>233</v>
      </c>
      <c r="C222" s="1" t="s">
        <v>13</v>
      </c>
      <c r="D222" s="2">
        <v>45979.80710648148</v>
      </c>
      <c r="E222" s="3">
        <v>45979.0</v>
      </c>
      <c r="F222" s="3" t="str">
        <f t="shared" si="1"/>
        <v>November-2025</v>
      </c>
      <c r="G222" s="1">
        <v>19.0</v>
      </c>
      <c r="H222" s="1">
        <v>21900.0</v>
      </c>
      <c r="I222" s="1">
        <v>4250.0</v>
      </c>
      <c r="J222" s="1">
        <v>4900.0</v>
      </c>
      <c r="K222" s="1">
        <v>12750.0</v>
      </c>
    </row>
    <row r="223">
      <c r="A223" s="1" t="s">
        <v>11</v>
      </c>
      <c r="B223" s="1" t="s">
        <v>234</v>
      </c>
      <c r="C223" s="1" t="s">
        <v>13</v>
      </c>
      <c r="D223" s="2">
        <v>45979.81675925926</v>
      </c>
      <c r="E223" s="3">
        <v>45979.0</v>
      </c>
      <c r="F223" s="3" t="str">
        <f t="shared" si="1"/>
        <v>November-2025</v>
      </c>
      <c r="G223" s="1">
        <v>19.0</v>
      </c>
      <c r="H223" s="1">
        <v>26200.0</v>
      </c>
      <c r="I223" s="1">
        <v>5325.0</v>
      </c>
      <c r="J223" s="1">
        <v>4900.0</v>
      </c>
      <c r="K223" s="1">
        <v>15975.0</v>
      </c>
    </row>
    <row r="224">
      <c r="A224" s="1" t="s">
        <v>11</v>
      </c>
      <c r="B224" s="1" t="s">
        <v>235</v>
      </c>
      <c r="C224" s="1" t="s">
        <v>13</v>
      </c>
      <c r="D224" s="2">
        <v>45979.84824074074</v>
      </c>
      <c r="E224" s="3">
        <v>45979.0</v>
      </c>
      <c r="F224" s="3" t="str">
        <f t="shared" si="1"/>
        <v>November-2025</v>
      </c>
      <c r="G224" s="1">
        <v>20.0</v>
      </c>
      <c r="H224" s="1">
        <v>43800.0</v>
      </c>
      <c r="I224" s="1">
        <v>9113.0</v>
      </c>
      <c r="J224" s="1">
        <v>10350.0</v>
      </c>
      <c r="K224" s="1">
        <v>24337.0</v>
      </c>
    </row>
    <row r="225">
      <c r="A225" s="1" t="s">
        <v>11</v>
      </c>
      <c r="B225" s="1" t="s">
        <v>236</v>
      </c>
      <c r="C225" s="1" t="s">
        <v>13</v>
      </c>
      <c r="D225" s="2">
        <v>45979.88445601852</v>
      </c>
      <c r="E225" s="3">
        <v>45979.0</v>
      </c>
      <c r="F225" s="3" t="str">
        <f t="shared" si="1"/>
        <v>November-2025</v>
      </c>
      <c r="G225" s="1">
        <v>21.0</v>
      </c>
      <c r="H225" s="1">
        <v>21900.0</v>
      </c>
      <c r="I225" s="1">
        <v>4402.0</v>
      </c>
      <c r="J225" s="1">
        <v>4293.0</v>
      </c>
      <c r="K225" s="1">
        <v>13205.0</v>
      </c>
    </row>
    <row r="226">
      <c r="A226" s="1" t="s">
        <v>11</v>
      </c>
      <c r="B226" s="1" t="s">
        <v>237</v>
      </c>
      <c r="C226" s="1" t="s">
        <v>13</v>
      </c>
      <c r="D226" s="2">
        <v>45979.92523148148</v>
      </c>
      <c r="E226" s="3">
        <v>45979.0</v>
      </c>
      <c r="F226" s="3" t="str">
        <f t="shared" si="1"/>
        <v>November-2025</v>
      </c>
      <c r="G226" s="1">
        <v>22.0</v>
      </c>
      <c r="H226" s="1">
        <v>45800.0</v>
      </c>
      <c r="I226" s="1">
        <v>9613.0</v>
      </c>
      <c r="J226" s="1">
        <v>10350.0</v>
      </c>
      <c r="K226" s="1">
        <v>25837.0</v>
      </c>
    </row>
    <row r="227">
      <c r="A227" s="1" t="s">
        <v>11</v>
      </c>
      <c r="B227" s="1" t="s">
        <v>238</v>
      </c>
      <c r="C227" s="1" t="s">
        <v>13</v>
      </c>
      <c r="D227" s="2">
        <v>45979.92755787037</v>
      </c>
      <c r="E227" s="3">
        <v>45979.0</v>
      </c>
      <c r="F227" s="3" t="str">
        <f t="shared" si="1"/>
        <v>November-2025</v>
      </c>
      <c r="G227" s="1">
        <v>22.0</v>
      </c>
      <c r="H227" s="1">
        <v>21900.0</v>
      </c>
      <c r="I227" s="1">
        <v>4250.0</v>
      </c>
      <c r="J227" s="1">
        <v>4900.0</v>
      </c>
      <c r="K227" s="1">
        <v>12750.0</v>
      </c>
    </row>
    <row r="228">
      <c r="A228" s="1" t="s">
        <v>11</v>
      </c>
      <c r="B228" s="1" t="s">
        <v>239</v>
      </c>
      <c r="C228" s="1" t="s">
        <v>13</v>
      </c>
      <c r="D228" s="2">
        <v>45980.53091435185</v>
      </c>
      <c r="E228" s="3">
        <v>45980.0</v>
      </c>
      <c r="F228" s="3" t="str">
        <f t="shared" si="1"/>
        <v>November-2025</v>
      </c>
      <c r="G228" s="1">
        <v>12.0</v>
      </c>
      <c r="H228" s="1">
        <v>25800.0</v>
      </c>
      <c r="I228" s="1">
        <v>5225.0</v>
      </c>
      <c r="J228" s="1">
        <v>4900.0</v>
      </c>
      <c r="K228" s="1">
        <v>15675.0</v>
      </c>
    </row>
    <row r="229">
      <c r="A229" s="1" t="s">
        <v>11</v>
      </c>
      <c r="B229" s="1" t="s">
        <v>240</v>
      </c>
      <c r="C229" s="1" t="s">
        <v>13</v>
      </c>
      <c r="D229" s="2">
        <v>45980.63087962963</v>
      </c>
      <c r="E229" s="3">
        <v>45980.0</v>
      </c>
      <c r="F229" s="3" t="str">
        <f t="shared" si="1"/>
        <v>November-2025</v>
      </c>
      <c r="G229" s="1">
        <v>15.0</v>
      </c>
      <c r="H229" s="1">
        <v>26900.0</v>
      </c>
      <c r="I229" s="1">
        <v>5500.0</v>
      </c>
      <c r="J229" s="1">
        <v>4900.0</v>
      </c>
      <c r="K229" s="1">
        <v>16500.0</v>
      </c>
    </row>
    <row r="230">
      <c r="A230" s="1" t="s">
        <v>11</v>
      </c>
      <c r="B230" s="1" t="s">
        <v>241</v>
      </c>
      <c r="C230" s="1" t="s">
        <v>13</v>
      </c>
      <c r="D230" s="2">
        <v>45980.72708333333</v>
      </c>
      <c r="E230" s="3">
        <v>45980.0</v>
      </c>
      <c r="F230" s="3" t="str">
        <f t="shared" si="1"/>
        <v>November-2025</v>
      </c>
      <c r="G230" s="1">
        <v>17.0</v>
      </c>
      <c r="H230" s="1">
        <v>43800.0</v>
      </c>
      <c r="I230" s="1">
        <v>9113.0</v>
      </c>
      <c r="J230" s="1">
        <v>10350.0</v>
      </c>
      <c r="K230" s="1">
        <v>24337.0</v>
      </c>
    </row>
    <row r="231">
      <c r="A231" s="1" t="s">
        <v>11</v>
      </c>
      <c r="B231" s="1" t="s">
        <v>242</v>
      </c>
      <c r="C231" s="1" t="s">
        <v>13</v>
      </c>
      <c r="D231" s="2">
        <v>45980.727164351854</v>
      </c>
      <c r="E231" s="3">
        <v>45980.0</v>
      </c>
      <c r="F231" s="3" t="str">
        <f t="shared" si="1"/>
        <v>November-2025</v>
      </c>
      <c r="G231" s="1">
        <v>17.0</v>
      </c>
      <c r="H231" s="1">
        <v>55600.0</v>
      </c>
      <c r="I231" s="1">
        <v>11030.0</v>
      </c>
      <c r="J231" s="1">
        <v>15482.0</v>
      </c>
      <c r="K231" s="1">
        <v>29088.0</v>
      </c>
    </row>
    <row r="232">
      <c r="A232" s="1" t="s">
        <v>11</v>
      </c>
      <c r="B232" s="1" t="s">
        <v>243</v>
      </c>
      <c r="C232" s="1" t="s">
        <v>13</v>
      </c>
      <c r="D232" s="2">
        <v>45980.82456018519</v>
      </c>
      <c r="E232" s="3">
        <v>45980.0</v>
      </c>
      <c r="F232" s="3" t="str">
        <f t="shared" si="1"/>
        <v>November-2025</v>
      </c>
      <c r="G232" s="1">
        <v>19.0</v>
      </c>
      <c r="H232" s="1">
        <v>36600.0</v>
      </c>
      <c r="I232" s="1">
        <v>7357.0</v>
      </c>
      <c r="J232" s="1">
        <v>9174.0</v>
      </c>
      <c r="K232" s="1">
        <v>20069.0</v>
      </c>
    </row>
    <row r="233">
      <c r="A233" s="1" t="s">
        <v>11</v>
      </c>
      <c r="B233" s="1" t="s">
        <v>244</v>
      </c>
      <c r="C233" s="1" t="s">
        <v>13</v>
      </c>
      <c r="D233" s="2">
        <v>45980.828668981485</v>
      </c>
      <c r="E233" s="3">
        <v>45980.0</v>
      </c>
      <c r="F233" s="3" t="str">
        <f t="shared" si="1"/>
        <v>November-2025</v>
      </c>
      <c r="G233" s="1">
        <v>19.0</v>
      </c>
      <c r="H233" s="1">
        <v>29700.0</v>
      </c>
      <c r="I233" s="1">
        <v>5242.0</v>
      </c>
      <c r="J233" s="1">
        <v>8732.0</v>
      </c>
      <c r="K233" s="1">
        <v>15726.0</v>
      </c>
    </row>
    <row r="234">
      <c r="A234" s="1" t="s">
        <v>11</v>
      </c>
      <c r="B234" s="1" t="s">
        <v>245</v>
      </c>
      <c r="C234" s="1" t="s">
        <v>13</v>
      </c>
      <c r="D234" s="2">
        <v>45980.86447916667</v>
      </c>
      <c r="E234" s="3">
        <v>45980.0</v>
      </c>
      <c r="F234" s="3" t="str">
        <f t="shared" si="1"/>
        <v>November-2025</v>
      </c>
      <c r="G234" s="1">
        <v>20.0</v>
      </c>
      <c r="H234" s="1">
        <v>53700.0</v>
      </c>
      <c r="I234" s="1">
        <v>10653.0</v>
      </c>
      <c r="J234" s="1">
        <v>15090.0</v>
      </c>
      <c r="K234" s="1">
        <v>27957.0</v>
      </c>
    </row>
    <row r="235">
      <c r="A235" s="1" t="s">
        <v>11</v>
      </c>
      <c r="B235" s="1" t="s">
        <v>246</v>
      </c>
      <c r="C235" s="1" t="s">
        <v>13</v>
      </c>
      <c r="D235" s="2">
        <v>45980.87353009259</v>
      </c>
      <c r="E235" s="3">
        <v>45980.0</v>
      </c>
      <c r="F235" s="3" t="str">
        <f t="shared" si="1"/>
        <v>November-2025</v>
      </c>
      <c r="G235" s="1">
        <v>20.0</v>
      </c>
      <c r="H235" s="1">
        <v>18500.0</v>
      </c>
      <c r="I235" s="1">
        <v>3492.0</v>
      </c>
      <c r="J235" s="1">
        <v>4533.0</v>
      </c>
      <c r="K235" s="1">
        <v>10475.0</v>
      </c>
    </row>
    <row r="236">
      <c r="A236" s="1" t="s">
        <v>11</v>
      </c>
      <c r="B236" s="1" t="s">
        <v>247</v>
      </c>
      <c r="C236" s="1" t="s">
        <v>13</v>
      </c>
      <c r="D236" s="2">
        <v>45980.89803240741</v>
      </c>
      <c r="E236" s="3">
        <v>45980.0</v>
      </c>
      <c r="F236" s="3" t="str">
        <f t="shared" si="1"/>
        <v>November-2025</v>
      </c>
      <c r="G236" s="1">
        <v>21.0</v>
      </c>
      <c r="H236" s="1">
        <v>38800.0</v>
      </c>
      <c r="I236" s="1">
        <v>7863.0</v>
      </c>
      <c r="J236" s="1">
        <v>9350.0</v>
      </c>
      <c r="K236" s="1">
        <v>21587.0</v>
      </c>
    </row>
    <row r="237">
      <c r="A237" s="1" t="s">
        <v>11</v>
      </c>
      <c r="B237" s="1" t="s">
        <v>248</v>
      </c>
      <c r="C237" s="1" t="s">
        <v>13</v>
      </c>
      <c r="D237" s="2">
        <v>45980.90173611111</v>
      </c>
      <c r="E237" s="3">
        <v>45980.0</v>
      </c>
      <c r="F237" s="3" t="str">
        <f t="shared" si="1"/>
        <v>November-2025</v>
      </c>
      <c r="G237" s="1">
        <v>21.0</v>
      </c>
      <c r="H237" s="1">
        <v>18800.0</v>
      </c>
      <c r="I237" s="1">
        <v>3549.0</v>
      </c>
      <c r="J237" s="1">
        <v>4606.0</v>
      </c>
      <c r="K237" s="1">
        <v>10645.0</v>
      </c>
    </row>
    <row r="238">
      <c r="A238" s="1" t="s">
        <v>11</v>
      </c>
      <c r="B238" s="1" t="s">
        <v>249</v>
      </c>
      <c r="C238" s="1" t="s">
        <v>13</v>
      </c>
      <c r="D238" s="2">
        <v>45980.91127314815</v>
      </c>
      <c r="E238" s="3">
        <v>45980.0</v>
      </c>
      <c r="F238" s="3" t="str">
        <f t="shared" si="1"/>
        <v>November-2025</v>
      </c>
      <c r="G238" s="1">
        <v>21.0</v>
      </c>
      <c r="H238" s="1">
        <v>50700.0</v>
      </c>
      <c r="I238" s="1">
        <v>10058.0</v>
      </c>
      <c r="J238" s="1">
        <v>14470.0</v>
      </c>
      <c r="K238" s="1">
        <v>26172.0</v>
      </c>
    </row>
    <row r="239">
      <c r="A239" s="1" t="s">
        <v>11</v>
      </c>
      <c r="B239" s="1" t="s">
        <v>250</v>
      </c>
      <c r="C239" s="1" t="s">
        <v>13</v>
      </c>
      <c r="D239" s="2">
        <v>45980.941724537035</v>
      </c>
      <c r="E239" s="3">
        <v>45980.0</v>
      </c>
      <c r="F239" s="3" t="str">
        <f t="shared" si="1"/>
        <v>November-2025</v>
      </c>
      <c r="G239" s="1">
        <v>22.0</v>
      </c>
      <c r="H239" s="1">
        <v>65700.0</v>
      </c>
      <c r="I239" s="1">
        <v>12549.0</v>
      </c>
      <c r="J239" s="1">
        <v>19506.0</v>
      </c>
      <c r="K239" s="1">
        <v>33645.0</v>
      </c>
    </row>
    <row r="240">
      <c r="A240" s="1" t="s">
        <v>11</v>
      </c>
      <c r="B240" s="1" t="s">
        <v>251</v>
      </c>
      <c r="C240" s="1" t="s">
        <v>13</v>
      </c>
      <c r="D240" s="2">
        <v>45980.944247685184</v>
      </c>
      <c r="E240" s="3">
        <v>45980.0</v>
      </c>
      <c r="F240" s="3" t="str">
        <f t="shared" si="1"/>
        <v>November-2025</v>
      </c>
      <c r="G240" s="1">
        <v>22.0</v>
      </c>
      <c r="H240" s="1">
        <v>28300.0</v>
      </c>
      <c r="I240" s="1">
        <v>7075.0</v>
      </c>
      <c r="J240" s="1">
        <v>0.0</v>
      </c>
      <c r="K240" s="1">
        <v>21225.0</v>
      </c>
    </row>
    <row r="241">
      <c r="A241" s="1" t="s">
        <v>11</v>
      </c>
      <c r="B241" s="1" t="s">
        <v>252</v>
      </c>
      <c r="C241" s="1" t="s">
        <v>13</v>
      </c>
      <c r="D241" s="2">
        <v>45980.9465162037</v>
      </c>
      <c r="E241" s="3">
        <v>45980.0</v>
      </c>
      <c r="F241" s="3" t="str">
        <f t="shared" si="1"/>
        <v>November-2025</v>
      </c>
      <c r="G241" s="1">
        <v>22.0</v>
      </c>
      <c r="H241" s="1">
        <v>36700.0</v>
      </c>
      <c r="I241" s="1">
        <v>7377.0</v>
      </c>
      <c r="J241" s="1">
        <v>9194.0</v>
      </c>
      <c r="K241" s="1">
        <v>20129.0</v>
      </c>
    </row>
    <row r="242">
      <c r="A242" s="1" t="s">
        <v>11</v>
      </c>
      <c r="B242" s="1" t="s">
        <v>253</v>
      </c>
      <c r="C242" s="1" t="s">
        <v>13</v>
      </c>
      <c r="D242" s="2">
        <v>45981.69153935185</v>
      </c>
      <c r="E242" s="3">
        <v>45981.0</v>
      </c>
      <c r="F242" s="3" t="str">
        <f t="shared" si="1"/>
        <v>November-2025</v>
      </c>
      <c r="G242" s="1">
        <v>16.0</v>
      </c>
      <c r="H242" s="1">
        <v>30300.0</v>
      </c>
      <c r="I242" s="1">
        <v>6091.0</v>
      </c>
      <c r="J242" s="1">
        <v>7939.0</v>
      </c>
      <c r="K242" s="1">
        <v>16270.0</v>
      </c>
    </row>
    <row r="243">
      <c r="A243" s="1" t="s">
        <v>11</v>
      </c>
      <c r="B243" s="1" t="s">
        <v>254</v>
      </c>
      <c r="C243" s="1" t="s">
        <v>13</v>
      </c>
      <c r="D243" s="2">
        <v>45981.809375</v>
      </c>
      <c r="E243" s="3">
        <v>45981.0</v>
      </c>
      <c r="F243" s="3" t="str">
        <f t="shared" si="1"/>
        <v>November-2025</v>
      </c>
      <c r="G243" s="1">
        <v>19.0</v>
      </c>
      <c r="H243" s="1">
        <v>31700.0</v>
      </c>
      <c r="I243" s="1">
        <v>6372.0</v>
      </c>
      <c r="J243" s="1">
        <v>8214.0</v>
      </c>
      <c r="K243" s="1">
        <v>17114.0</v>
      </c>
    </row>
    <row r="244">
      <c r="A244" s="1" t="s">
        <v>11</v>
      </c>
      <c r="B244" s="1" t="s">
        <v>255</v>
      </c>
      <c r="C244" s="1" t="s">
        <v>13</v>
      </c>
      <c r="D244" s="2">
        <v>45981.89262731482</v>
      </c>
      <c r="E244" s="3">
        <v>45981.0</v>
      </c>
      <c r="F244" s="3" t="str">
        <f t="shared" si="1"/>
        <v>November-2025</v>
      </c>
      <c r="G244" s="1">
        <v>21.0</v>
      </c>
      <c r="H244" s="1">
        <v>26900.0</v>
      </c>
      <c r="I244" s="1">
        <v>5078.0</v>
      </c>
      <c r="J244" s="1">
        <v>6591.0</v>
      </c>
      <c r="K244" s="1">
        <v>15231.0</v>
      </c>
    </row>
    <row r="245">
      <c r="A245" s="1" t="s">
        <v>11</v>
      </c>
      <c r="B245" s="1" t="s">
        <v>256</v>
      </c>
      <c r="C245" s="1" t="s">
        <v>13</v>
      </c>
      <c r="D245" s="2">
        <v>45981.92270833333</v>
      </c>
      <c r="E245" s="3">
        <v>45981.0</v>
      </c>
      <c r="F245" s="3" t="str">
        <f t="shared" si="1"/>
        <v>November-2025</v>
      </c>
      <c r="G245" s="1">
        <v>22.0</v>
      </c>
      <c r="H245" s="1">
        <v>21900.0</v>
      </c>
      <c r="I245" s="1">
        <v>4250.0</v>
      </c>
      <c r="J245" s="1">
        <v>4900.0</v>
      </c>
      <c r="K245" s="1">
        <v>12750.0</v>
      </c>
    </row>
    <row r="246">
      <c r="A246" s="1" t="s">
        <v>11</v>
      </c>
      <c r="B246" s="1" t="s">
        <v>257</v>
      </c>
      <c r="C246" s="1" t="s">
        <v>13</v>
      </c>
      <c r="D246" s="2">
        <v>45981.94701388889</v>
      </c>
      <c r="E246" s="3">
        <v>45981.0</v>
      </c>
      <c r="F246" s="3" t="str">
        <f t="shared" si="1"/>
        <v>November-2025</v>
      </c>
      <c r="G246" s="1">
        <v>22.0</v>
      </c>
      <c r="H246" s="1">
        <v>52800.0</v>
      </c>
      <c r="I246" s="1">
        <v>13200.0</v>
      </c>
      <c r="J246" s="1">
        <v>4000.0</v>
      </c>
      <c r="K246" s="1">
        <v>35600.0</v>
      </c>
    </row>
    <row r="247">
      <c r="A247" s="1" t="s">
        <v>11</v>
      </c>
      <c r="B247" s="1" t="s">
        <v>258</v>
      </c>
      <c r="C247" s="1" t="s">
        <v>13</v>
      </c>
      <c r="D247" s="2">
        <v>45982.5490162037</v>
      </c>
      <c r="E247" s="3">
        <v>45982.0</v>
      </c>
      <c r="F247" s="3" t="str">
        <f t="shared" si="1"/>
        <v>November-2025</v>
      </c>
      <c r="G247" s="1">
        <v>13.0</v>
      </c>
      <c r="H247" s="1">
        <v>16900.0</v>
      </c>
      <c r="I247" s="1">
        <v>4225.0</v>
      </c>
      <c r="J247" s="1">
        <v>0.0</v>
      </c>
      <c r="K247" s="1">
        <v>12675.0</v>
      </c>
    </row>
    <row r="248">
      <c r="A248" s="1" t="s">
        <v>11</v>
      </c>
      <c r="B248" s="1" t="s">
        <v>259</v>
      </c>
      <c r="C248" s="1" t="s">
        <v>13</v>
      </c>
      <c r="D248" s="2">
        <v>45982.56663194444</v>
      </c>
      <c r="E248" s="3">
        <v>45982.0</v>
      </c>
      <c r="F248" s="3" t="str">
        <f t="shared" si="1"/>
        <v>November-2025</v>
      </c>
      <c r="G248" s="1">
        <v>13.0</v>
      </c>
      <c r="H248" s="1">
        <v>33600.0</v>
      </c>
      <c r="I248" s="1">
        <v>6754.0</v>
      </c>
      <c r="J248" s="1">
        <v>8586.0</v>
      </c>
      <c r="K248" s="1">
        <v>18260.0</v>
      </c>
    </row>
    <row r="249">
      <c r="A249" s="1" t="s">
        <v>11</v>
      </c>
      <c r="B249" s="1" t="s">
        <v>260</v>
      </c>
      <c r="C249" s="1" t="s">
        <v>13</v>
      </c>
      <c r="D249" s="2">
        <v>45982.614224537036</v>
      </c>
      <c r="E249" s="3">
        <v>45982.0</v>
      </c>
      <c r="F249" s="3" t="str">
        <f t="shared" si="1"/>
        <v>November-2025</v>
      </c>
      <c r="G249" s="1">
        <v>14.0</v>
      </c>
      <c r="H249" s="1">
        <v>46000.0</v>
      </c>
      <c r="I249" s="1">
        <v>9663.0</v>
      </c>
      <c r="J249" s="1">
        <v>10350.0</v>
      </c>
      <c r="K249" s="1">
        <v>25987.0</v>
      </c>
    </row>
    <row r="250">
      <c r="A250" s="1" t="s">
        <v>11</v>
      </c>
      <c r="B250" s="1" t="s">
        <v>261</v>
      </c>
      <c r="C250" s="1" t="s">
        <v>13</v>
      </c>
      <c r="D250" s="2">
        <v>45982.62635416666</v>
      </c>
      <c r="E250" s="3">
        <v>45982.0</v>
      </c>
      <c r="F250" s="3" t="str">
        <f t="shared" si="1"/>
        <v>November-2025</v>
      </c>
      <c r="G250" s="1">
        <v>15.0</v>
      </c>
      <c r="H250" s="1">
        <v>71800.0</v>
      </c>
      <c r="I250" s="1">
        <v>14244.0</v>
      </c>
      <c r="J250" s="1">
        <v>18827.0</v>
      </c>
      <c r="K250" s="1">
        <v>38729.0</v>
      </c>
    </row>
    <row r="251">
      <c r="A251" s="1" t="s">
        <v>11</v>
      </c>
      <c r="B251" s="1" t="s">
        <v>262</v>
      </c>
      <c r="C251" s="1" t="s">
        <v>13</v>
      </c>
      <c r="D251" s="2">
        <v>45982.70832175926</v>
      </c>
      <c r="E251" s="3">
        <v>45982.0</v>
      </c>
      <c r="F251" s="3" t="str">
        <f t="shared" si="1"/>
        <v>November-2025</v>
      </c>
      <c r="G251" s="1">
        <v>16.0</v>
      </c>
      <c r="H251" s="1">
        <v>75000.0</v>
      </c>
      <c r="I251" s="1">
        <v>14878.0</v>
      </c>
      <c r="J251" s="1">
        <v>19488.0</v>
      </c>
      <c r="K251" s="1">
        <v>40634.0</v>
      </c>
    </row>
    <row r="252">
      <c r="A252" s="1" t="s">
        <v>11</v>
      </c>
      <c r="B252" s="1" t="s">
        <v>263</v>
      </c>
      <c r="C252" s="1" t="s">
        <v>13</v>
      </c>
      <c r="D252" s="2">
        <v>45982.75671296296</v>
      </c>
      <c r="E252" s="3">
        <v>45982.0</v>
      </c>
      <c r="F252" s="3" t="str">
        <f t="shared" si="1"/>
        <v>November-2025</v>
      </c>
      <c r="G252" s="1">
        <v>18.0</v>
      </c>
      <c r="H252" s="1">
        <v>16900.0</v>
      </c>
      <c r="I252" s="1">
        <v>3190.0</v>
      </c>
      <c r="J252" s="1">
        <v>4141.0</v>
      </c>
      <c r="K252" s="1">
        <v>9569.0</v>
      </c>
    </row>
    <row r="253">
      <c r="A253" s="1" t="s">
        <v>11</v>
      </c>
      <c r="B253" s="1" t="s">
        <v>264</v>
      </c>
      <c r="C253" s="1" t="s">
        <v>13</v>
      </c>
      <c r="D253" s="2">
        <v>45982.77954861111</v>
      </c>
      <c r="E253" s="3">
        <v>45982.0</v>
      </c>
      <c r="F253" s="3" t="str">
        <f t="shared" si="1"/>
        <v>November-2025</v>
      </c>
      <c r="G253" s="1">
        <v>18.0</v>
      </c>
      <c r="H253" s="1">
        <v>33800.0</v>
      </c>
      <c r="I253" s="1">
        <v>6794.0</v>
      </c>
      <c r="J253" s="1">
        <v>8625.0</v>
      </c>
      <c r="K253" s="1">
        <v>18381.0</v>
      </c>
    </row>
    <row r="254">
      <c r="A254" s="1" t="s">
        <v>11</v>
      </c>
      <c r="B254" s="1" t="s">
        <v>265</v>
      </c>
      <c r="C254" s="1" t="s">
        <v>13</v>
      </c>
      <c r="D254" s="2">
        <v>45982.794444444444</v>
      </c>
      <c r="E254" s="3">
        <v>45982.0</v>
      </c>
      <c r="F254" s="3" t="str">
        <f t="shared" si="1"/>
        <v>November-2025</v>
      </c>
      <c r="G254" s="1">
        <v>19.0</v>
      </c>
      <c r="H254" s="1">
        <v>33200.0</v>
      </c>
      <c r="I254" s="1">
        <v>6673.0</v>
      </c>
      <c r="J254" s="1">
        <v>8508.0</v>
      </c>
      <c r="K254" s="1">
        <v>18019.0</v>
      </c>
    </row>
    <row r="255">
      <c r="A255" s="1" t="s">
        <v>11</v>
      </c>
      <c r="B255" s="1" t="s">
        <v>266</v>
      </c>
      <c r="C255" s="1" t="s">
        <v>13</v>
      </c>
      <c r="D255" s="2">
        <v>45982.80030092593</v>
      </c>
      <c r="E255" s="3">
        <v>45982.0</v>
      </c>
      <c r="F255" s="3" t="str">
        <f t="shared" si="1"/>
        <v>November-2025</v>
      </c>
      <c r="G255" s="1">
        <v>19.0</v>
      </c>
      <c r="H255" s="1">
        <v>32700.0</v>
      </c>
      <c r="I255" s="1">
        <v>6573.0</v>
      </c>
      <c r="J255" s="1">
        <v>8410.0</v>
      </c>
      <c r="K255" s="1">
        <v>17717.0</v>
      </c>
    </row>
    <row r="256">
      <c r="A256" s="1" t="s">
        <v>11</v>
      </c>
      <c r="B256" s="1" t="s">
        <v>267</v>
      </c>
      <c r="C256" s="1" t="s">
        <v>13</v>
      </c>
      <c r="D256" s="2">
        <v>45982.80826388889</v>
      </c>
      <c r="E256" s="3">
        <v>45982.0</v>
      </c>
      <c r="F256" s="3" t="str">
        <f t="shared" si="1"/>
        <v>November-2025</v>
      </c>
      <c r="G256" s="1">
        <v>19.0</v>
      </c>
      <c r="H256" s="1">
        <v>21900.0</v>
      </c>
      <c r="I256" s="1">
        <v>4134.0</v>
      </c>
      <c r="J256" s="1">
        <v>5366.0</v>
      </c>
      <c r="K256" s="1">
        <v>12400.0</v>
      </c>
    </row>
    <row r="257">
      <c r="A257" s="1" t="s">
        <v>11</v>
      </c>
      <c r="B257" s="1" t="s">
        <v>268</v>
      </c>
      <c r="C257" s="1" t="s">
        <v>13</v>
      </c>
      <c r="D257" s="2">
        <v>45982.925046296295</v>
      </c>
      <c r="E257" s="3">
        <v>45982.0</v>
      </c>
      <c r="F257" s="3" t="str">
        <f t="shared" si="1"/>
        <v>November-2025</v>
      </c>
      <c r="G257" s="1">
        <v>22.0</v>
      </c>
      <c r="H257" s="1">
        <v>57500.0</v>
      </c>
      <c r="I257" s="1">
        <v>11407.0</v>
      </c>
      <c r="J257" s="1">
        <v>15874.0</v>
      </c>
      <c r="K257" s="1">
        <v>30219.0</v>
      </c>
    </row>
    <row r="258">
      <c r="A258" s="1" t="s">
        <v>11</v>
      </c>
      <c r="B258" s="1" t="s">
        <v>269</v>
      </c>
      <c r="C258" s="1" t="s">
        <v>13</v>
      </c>
      <c r="D258" s="2">
        <v>45983.55174768518</v>
      </c>
      <c r="E258" s="3">
        <v>45983.0</v>
      </c>
      <c r="F258" s="3" t="str">
        <f t="shared" si="1"/>
        <v>November-2025</v>
      </c>
      <c r="G258" s="1">
        <v>13.0</v>
      </c>
      <c r="H258" s="1">
        <v>18500.0</v>
      </c>
      <c r="I258" s="1">
        <v>3492.0</v>
      </c>
      <c r="J258" s="1">
        <v>4533.0</v>
      </c>
      <c r="K258" s="1">
        <v>10475.0</v>
      </c>
    </row>
    <row r="259">
      <c r="A259" s="1" t="s">
        <v>11</v>
      </c>
      <c r="B259" s="1" t="s">
        <v>270</v>
      </c>
      <c r="C259" s="1" t="s">
        <v>13</v>
      </c>
      <c r="D259" s="2">
        <v>45983.58628472222</v>
      </c>
      <c r="E259" s="3">
        <v>45983.0</v>
      </c>
      <c r="F259" s="3" t="str">
        <f t="shared" si="1"/>
        <v>November-2025</v>
      </c>
      <c r="G259" s="1">
        <v>14.0</v>
      </c>
      <c r="H259" s="1">
        <v>38800.0</v>
      </c>
      <c r="I259" s="1">
        <v>7863.0</v>
      </c>
      <c r="J259" s="1">
        <v>9350.0</v>
      </c>
      <c r="K259" s="1">
        <v>21587.0</v>
      </c>
    </row>
    <row r="260">
      <c r="A260" s="1" t="s">
        <v>11</v>
      </c>
      <c r="B260" s="1" t="s">
        <v>271</v>
      </c>
      <c r="C260" s="1" t="s">
        <v>13</v>
      </c>
      <c r="D260" s="2">
        <v>45983.59428240741</v>
      </c>
      <c r="E260" s="3">
        <v>45983.0</v>
      </c>
      <c r="F260" s="3" t="str">
        <f t="shared" si="1"/>
        <v>November-2025</v>
      </c>
      <c r="G260" s="1">
        <v>14.0</v>
      </c>
      <c r="H260" s="1">
        <v>27800.0</v>
      </c>
      <c r="I260" s="1">
        <v>5725.0</v>
      </c>
      <c r="J260" s="1">
        <v>4900.0</v>
      </c>
      <c r="K260" s="1">
        <v>17175.0</v>
      </c>
    </row>
    <row r="261">
      <c r="A261" s="1" t="s">
        <v>11</v>
      </c>
      <c r="B261" s="1" t="s">
        <v>272</v>
      </c>
      <c r="C261" s="1" t="s">
        <v>13</v>
      </c>
      <c r="D261" s="2">
        <v>45983.60618055556</v>
      </c>
      <c r="E261" s="3">
        <v>45983.0</v>
      </c>
      <c r="F261" s="3" t="str">
        <f t="shared" si="1"/>
        <v>November-2025</v>
      </c>
      <c r="G261" s="1">
        <v>14.0</v>
      </c>
      <c r="H261" s="1">
        <v>31700.0</v>
      </c>
      <c r="I261" s="1">
        <v>6372.0</v>
      </c>
      <c r="J261" s="1">
        <v>8214.0</v>
      </c>
      <c r="K261" s="1">
        <v>17114.0</v>
      </c>
    </row>
    <row r="262">
      <c r="A262" s="1" t="s">
        <v>11</v>
      </c>
      <c r="B262" s="1" t="s">
        <v>273</v>
      </c>
      <c r="C262" s="1" t="s">
        <v>13</v>
      </c>
      <c r="D262" s="2">
        <v>45983.766076388885</v>
      </c>
      <c r="E262" s="3">
        <v>45983.0</v>
      </c>
      <c r="F262" s="3" t="str">
        <f t="shared" si="1"/>
        <v>November-2025</v>
      </c>
      <c r="G262" s="1">
        <v>18.0</v>
      </c>
      <c r="H262" s="1">
        <v>26500.0</v>
      </c>
      <c r="I262" s="1">
        <v>5400.0</v>
      </c>
      <c r="J262" s="1">
        <v>4900.0</v>
      </c>
      <c r="K262" s="1">
        <v>16200.0</v>
      </c>
    </row>
    <row r="263">
      <c r="A263" s="1" t="s">
        <v>11</v>
      </c>
      <c r="B263" s="1" t="s">
        <v>274</v>
      </c>
      <c r="C263" s="1" t="s">
        <v>13</v>
      </c>
      <c r="D263" s="2">
        <v>45983.86447916667</v>
      </c>
      <c r="E263" s="3">
        <v>45983.0</v>
      </c>
      <c r="F263" s="3" t="str">
        <f t="shared" si="1"/>
        <v>November-2025</v>
      </c>
      <c r="G263" s="1">
        <v>20.0</v>
      </c>
      <c r="H263" s="1">
        <v>36700.0</v>
      </c>
      <c r="I263" s="1">
        <v>7377.0</v>
      </c>
      <c r="J263" s="1">
        <v>9194.0</v>
      </c>
      <c r="K263" s="1">
        <v>20129.0</v>
      </c>
    </row>
    <row r="264">
      <c r="A264" s="1" t="s">
        <v>11</v>
      </c>
      <c r="B264" s="1" t="s">
        <v>275</v>
      </c>
      <c r="C264" s="1" t="s">
        <v>13</v>
      </c>
      <c r="D264" s="2">
        <v>45983.89208333333</v>
      </c>
      <c r="E264" s="3">
        <v>45983.0</v>
      </c>
      <c r="F264" s="3" t="str">
        <f t="shared" si="1"/>
        <v>November-2025</v>
      </c>
      <c r="G264" s="1">
        <v>21.0</v>
      </c>
      <c r="H264" s="1">
        <v>26900.0</v>
      </c>
      <c r="I264" s="1">
        <v>5500.0</v>
      </c>
      <c r="J264" s="1">
        <v>4900.0</v>
      </c>
      <c r="K264" s="1">
        <v>16500.0</v>
      </c>
    </row>
    <row r="265">
      <c r="A265" s="1" t="s">
        <v>11</v>
      </c>
      <c r="B265" s="1" t="s">
        <v>276</v>
      </c>
      <c r="C265" s="1" t="s">
        <v>13</v>
      </c>
      <c r="D265" s="2">
        <v>45983.89724537037</v>
      </c>
      <c r="E265" s="3">
        <v>45983.0</v>
      </c>
      <c r="F265" s="3" t="str">
        <f t="shared" si="1"/>
        <v>November-2025</v>
      </c>
      <c r="G265" s="1">
        <v>21.0</v>
      </c>
      <c r="H265" s="1">
        <v>30100.0</v>
      </c>
      <c r="I265" s="1">
        <v>7525.0</v>
      </c>
      <c r="J265" s="1">
        <v>2000.0</v>
      </c>
      <c r="K265" s="1">
        <v>20575.0</v>
      </c>
    </row>
    <row r="266">
      <c r="A266" s="1" t="s">
        <v>11</v>
      </c>
      <c r="B266" s="1" t="s">
        <v>277</v>
      </c>
      <c r="C266" s="1" t="s">
        <v>13</v>
      </c>
      <c r="D266" s="2">
        <v>45983.90384259259</v>
      </c>
      <c r="E266" s="3">
        <v>45983.0</v>
      </c>
      <c r="F266" s="3" t="str">
        <f t="shared" si="1"/>
        <v>November-2025</v>
      </c>
      <c r="G266" s="1">
        <v>21.0</v>
      </c>
      <c r="H266" s="1">
        <v>20400.0</v>
      </c>
      <c r="I266" s="1">
        <v>3875.0</v>
      </c>
      <c r="J266" s="1">
        <v>4900.0</v>
      </c>
      <c r="K266" s="1">
        <v>11625.0</v>
      </c>
    </row>
    <row r="267">
      <c r="A267" s="1" t="s">
        <v>11</v>
      </c>
      <c r="B267" s="1" t="s">
        <v>278</v>
      </c>
      <c r="C267" s="1" t="s">
        <v>13</v>
      </c>
      <c r="D267" s="2">
        <v>45983.962476851855</v>
      </c>
      <c r="E267" s="3">
        <v>45983.0</v>
      </c>
      <c r="F267" s="3" t="str">
        <f t="shared" si="1"/>
        <v>November-2025</v>
      </c>
      <c r="G267" s="1">
        <v>23.0</v>
      </c>
      <c r="H267" s="1">
        <v>56300.0</v>
      </c>
      <c r="I267" s="1">
        <v>11169.0</v>
      </c>
      <c r="J267" s="1">
        <v>15626.0</v>
      </c>
      <c r="K267" s="1">
        <v>29505.0</v>
      </c>
    </row>
    <row r="268">
      <c r="A268" s="1" t="s">
        <v>11</v>
      </c>
      <c r="B268" s="1" t="s">
        <v>279</v>
      </c>
      <c r="C268" s="1" t="s">
        <v>13</v>
      </c>
      <c r="D268" s="2">
        <v>45985.48527777778</v>
      </c>
      <c r="E268" s="3">
        <v>45985.0</v>
      </c>
      <c r="F268" s="3" t="str">
        <f t="shared" si="1"/>
        <v>November-2025</v>
      </c>
      <c r="G268" s="1">
        <v>11.0</v>
      </c>
      <c r="H268" s="1">
        <v>40700.0</v>
      </c>
      <c r="I268" s="1">
        <v>8338.0</v>
      </c>
      <c r="J268" s="1">
        <v>10350.0</v>
      </c>
      <c r="K268" s="1">
        <v>22012.0</v>
      </c>
    </row>
    <row r="269">
      <c r="A269" s="1" t="s">
        <v>11</v>
      </c>
      <c r="B269" s="1" t="s">
        <v>280</v>
      </c>
      <c r="C269" s="1" t="s">
        <v>13</v>
      </c>
      <c r="D269" s="2">
        <v>45985.51153935185</v>
      </c>
      <c r="E269" s="3">
        <v>45985.0</v>
      </c>
      <c r="F269" s="3" t="str">
        <f t="shared" si="1"/>
        <v>November-2025</v>
      </c>
      <c r="G269" s="1">
        <v>12.0</v>
      </c>
      <c r="H269" s="1">
        <v>26500.0</v>
      </c>
      <c r="I269" s="1">
        <v>5400.0</v>
      </c>
      <c r="J269" s="1">
        <v>4900.0</v>
      </c>
      <c r="K269" s="1">
        <v>16200.0</v>
      </c>
    </row>
    <row r="270">
      <c r="A270" s="1" t="s">
        <v>11</v>
      </c>
      <c r="B270" s="1" t="s">
        <v>281</v>
      </c>
      <c r="C270" s="1" t="s">
        <v>13</v>
      </c>
      <c r="D270" s="2">
        <v>45985.51855324074</v>
      </c>
      <c r="E270" s="3">
        <v>45985.0</v>
      </c>
      <c r="F270" s="3" t="str">
        <f t="shared" si="1"/>
        <v>November-2025</v>
      </c>
      <c r="G270" s="1">
        <v>12.0</v>
      </c>
      <c r="H270" s="1">
        <v>25800.0</v>
      </c>
      <c r="I270" s="1">
        <v>5225.0</v>
      </c>
      <c r="J270" s="1">
        <v>4900.0</v>
      </c>
      <c r="K270" s="1">
        <v>15675.0</v>
      </c>
    </row>
    <row r="271">
      <c r="A271" s="1" t="s">
        <v>11</v>
      </c>
      <c r="B271" s="1" t="s">
        <v>282</v>
      </c>
      <c r="C271" s="1" t="s">
        <v>13</v>
      </c>
      <c r="D271" s="2">
        <v>45985.55986111111</v>
      </c>
      <c r="E271" s="3">
        <v>45985.0</v>
      </c>
      <c r="F271" s="3" t="str">
        <f t="shared" si="1"/>
        <v>November-2025</v>
      </c>
      <c r="G271" s="1">
        <v>13.0</v>
      </c>
      <c r="H271" s="1">
        <v>35500.0</v>
      </c>
      <c r="I271" s="1">
        <v>7136.0</v>
      </c>
      <c r="J271" s="1">
        <v>8958.0</v>
      </c>
      <c r="K271" s="1">
        <v>19406.0</v>
      </c>
    </row>
    <row r="272">
      <c r="A272" s="1" t="s">
        <v>11</v>
      </c>
      <c r="B272" s="1" t="s">
        <v>283</v>
      </c>
      <c r="C272" s="1" t="s">
        <v>13</v>
      </c>
      <c r="D272" s="2">
        <v>45985.61177083333</v>
      </c>
      <c r="E272" s="3">
        <v>45985.0</v>
      </c>
      <c r="F272" s="3" t="str">
        <f t="shared" si="1"/>
        <v>November-2025</v>
      </c>
      <c r="G272" s="1">
        <v>14.0</v>
      </c>
      <c r="H272" s="1">
        <v>21900.0</v>
      </c>
      <c r="I272" s="1">
        <v>4250.0</v>
      </c>
      <c r="J272" s="1">
        <v>4900.0</v>
      </c>
      <c r="K272" s="1">
        <v>12750.0</v>
      </c>
    </row>
    <row r="273">
      <c r="A273" s="1" t="s">
        <v>11</v>
      </c>
      <c r="B273" s="1" t="s">
        <v>284</v>
      </c>
      <c r="C273" s="1" t="s">
        <v>13</v>
      </c>
      <c r="D273" s="2">
        <v>45985.66789351852</v>
      </c>
      <c r="E273" s="3">
        <v>45985.0</v>
      </c>
      <c r="F273" s="3" t="str">
        <f t="shared" si="1"/>
        <v>November-2025</v>
      </c>
      <c r="G273" s="1">
        <v>16.0</v>
      </c>
      <c r="H273" s="1">
        <v>35500.0</v>
      </c>
      <c r="I273" s="1">
        <v>7136.0</v>
      </c>
      <c r="J273" s="1">
        <v>8958.0</v>
      </c>
      <c r="K273" s="1">
        <v>19406.0</v>
      </c>
    </row>
    <row r="274">
      <c r="A274" s="1" t="s">
        <v>11</v>
      </c>
      <c r="B274" s="1" t="s">
        <v>285</v>
      </c>
      <c r="C274" s="1" t="s">
        <v>13</v>
      </c>
      <c r="D274" s="2">
        <v>45985.669386574074</v>
      </c>
      <c r="E274" s="3">
        <v>45985.0</v>
      </c>
      <c r="F274" s="3" t="str">
        <f t="shared" si="1"/>
        <v>November-2025</v>
      </c>
      <c r="G274" s="1">
        <v>16.0</v>
      </c>
      <c r="H274" s="1">
        <v>21900.0</v>
      </c>
      <c r="I274" s="1">
        <v>4134.0</v>
      </c>
      <c r="J274" s="1">
        <v>5366.0</v>
      </c>
      <c r="K274" s="1">
        <v>12400.0</v>
      </c>
    </row>
    <row r="275">
      <c r="A275" s="1" t="s">
        <v>11</v>
      </c>
      <c r="B275" s="1" t="s">
        <v>286</v>
      </c>
      <c r="C275" s="1" t="s">
        <v>13</v>
      </c>
      <c r="D275" s="2">
        <v>45985.669386574074</v>
      </c>
      <c r="E275" s="3">
        <v>45985.0</v>
      </c>
      <c r="F275" s="3" t="str">
        <f t="shared" si="1"/>
        <v>November-2025</v>
      </c>
      <c r="G275" s="1">
        <v>16.0</v>
      </c>
      <c r="H275" s="1">
        <v>66300.0</v>
      </c>
      <c r="I275" s="1">
        <v>13153.0</v>
      </c>
      <c r="J275" s="1">
        <v>17691.0</v>
      </c>
      <c r="K275" s="1">
        <v>35456.0</v>
      </c>
    </row>
    <row r="276">
      <c r="A276" s="1" t="s">
        <v>11</v>
      </c>
      <c r="B276" s="1" t="s">
        <v>287</v>
      </c>
      <c r="C276" s="1" t="s">
        <v>13</v>
      </c>
      <c r="D276" s="2">
        <v>45985.72144675926</v>
      </c>
      <c r="E276" s="3">
        <v>45985.0</v>
      </c>
      <c r="F276" s="3" t="str">
        <f t="shared" si="1"/>
        <v>November-2025</v>
      </c>
      <c r="G276" s="1">
        <v>17.0</v>
      </c>
      <c r="H276" s="1">
        <v>65700.0</v>
      </c>
      <c r="I276" s="1">
        <v>13033.0</v>
      </c>
      <c r="J276" s="1">
        <v>17568.0</v>
      </c>
      <c r="K276" s="1">
        <v>35099.0</v>
      </c>
    </row>
    <row r="277">
      <c r="A277" s="1" t="s">
        <v>11</v>
      </c>
      <c r="B277" s="1" t="s">
        <v>288</v>
      </c>
      <c r="C277" s="1" t="s">
        <v>13</v>
      </c>
      <c r="D277" s="2">
        <v>45986.5281712963</v>
      </c>
      <c r="E277" s="3">
        <v>45986.0</v>
      </c>
      <c r="F277" s="3" t="str">
        <f t="shared" si="1"/>
        <v>November-2025</v>
      </c>
      <c r="G277" s="1">
        <v>12.0</v>
      </c>
      <c r="H277" s="1">
        <v>45000.0</v>
      </c>
      <c r="I277" s="1">
        <v>8188.0</v>
      </c>
      <c r="J277" s="1">
        <v>15250.0</v>
      </c>
      <c r="K277" s="1">
        <v>21562.0</v>
      </c>
    </row>
    <row r="278">
      <c r="A278" s="1" t="s">
        <v>11</v>
      </c>
      <c r="B278" s="1" t="s">
        <v>289</v>
      </c>
      <c r="C278" s="1" t="s">
        <v>13</v>
      </c>
      <c r="D278" s="2">
        <v>45986.55121527778</v>
      </c>
      <c r="E278" s="3">
        <v>45986.0</v>
      </c>
      <c r="F278" s="3" t="str">
        <f t="shared" si="1"/>
        <v>November-2025</v>
      </c>
      <c r="G278" s="1">
        <v>13.0</v>
      </c>
      <c r="H278" s="1">
        <v>16900.0</v>
      </c>
      <c r="I278" s="1">
        <v>3190.0</v>
      </c>
      <c r="J278" s="1">
        <v>4141.0</v>
      </c>
      <c r="K278" s="1">
        <v>9569.0</v>
      </c>
    </row>
    <row r="279">
      <c r="A279" s="1" t="s">
        <v>11</v>
      </c>
      <c r="B279" s="1" t="s">
        <v>290</v>
      </c>
      <c r="C279" s="1" t="s">
        <v>13</v>
      </c>
      <c r="D279" s="2">
        <v>45986.57408564815</v>
      </c>
      <c r="E279" s="3">
        <v>45986.0</v>
      </c>
      <c r="F279" s="3" t="str">
        <f t="shared" si="1"/>
        <v>November-2025</v>
      </c>
      <c r="G279" s="1">
        <v>13.0</v>
      </c>
      <c r="H279" s="1">
        <v>31600.0</v>
      </c>
      <c r="I279" s="1">
        <v>5384.0</v>
      </c>
      <c r="J279" s="1">
        <v>12065.0</v>
      </c>
      <c r="K279" s="1">
        <v>14151.0</v>
      </c>
    </row>
    <row r="280">
      <c r="A280" s="1" t="s">
        <v>11</v>
      </c>
      <c r="B280" s="1" t="s">
        <v>291</v>
      </c>
      <c r="C280" s="1" t="s">
        <v>13</v>
      </c>
      <c r="D280" s="2">
        <v>45986.588055555556</v>
      </c>
      <c r="E280" s="3">
        <v>45986.0</v>
      </c>
      <c r="F280" s="3" t="str">
        <f t="shared" si="1"/>
        <v>November-2025</v>
      </c>
      <c r="G280" s="1">
        <v>14.0</v>
      </c>
      <c r="H280" s="1">
        <v>30800.0</v>
      </c>
      <c r="I280" s="1">
        <v>5436.0</v>
      </c>
      <c r="J280" s="1">
        <v>11056.0</v>
      </c>
      <c r="K280" s="1">
        <v>14308.0</v>
      </c>
    </row>
    <row r="281">
      <c r="A281" s="1" t="s">
        <v>11</v>
      </c>
      <c r="B281" s="1" t="s">
        <v>292</v>
      </c>
      <c r="C281" s="1" t="s">
        <v>13</v>
      </c>
      <c r="D281" s="2">
        <v>45986.59539351852</v>
      </c>
      <c r="E281" s="3">
        <v>45986.0</v>
      </c>
      <c r="F281" s="3" t="str">
        <f t="shared" si="1"/>
        <v>November-2025</v>
      </c>
      <c r="G281" s="1">
        <v>14.0</v>
      </c>
      <c r="H281" s="1">
        <v>38600.0</v>
      </c>
      <c r="I281" s="1">
        <v>7200.0</v>
      </c>
      <c r="J281" s="1">
        <v>11800.0</v>
      </c>
      <c r="K281" s="1">
        <v>19600.0</v>
      </c>
    </row>
    <row r="282">
      <c r="A282" s="1" t="s">
        <v>11</v>
      </c>
      <c r="B282" s="1" t="s">
        <v>293</v>
      </c>
      <c r="C282" s="1" t="s">
        <v>13</v>
      </c>
      <c r="D282" s="2">
        <v>45986.64265046296</v>
      </c>
      <c r="E282" s="3">
        <v>45986.0</v>
      </c>
      <c r="F282" s="3" t="str">
        <f t="shared" si="1"/>
        <v>November-2025</v>
      </c>
      <c r="G282" s="1">
        <v>15.0</v>
      </c>
      <c r="H282" s="1">
        <v>45500.0</v>
      </c>
      <c r="I282" s="1">
        <v>8925.0</v>
      </c>
      <c r="J282" s="1">
        <v>12800.0</v>
      </c>
      <c r="K282" s="1">
        <v>23775.0</v>
      </c>
    </row>
    <row r="283">
      <c r="A283" s="1" t="s">
        <v>11</v>
      </c>
      <c r="B283" s="1" t="s">
        <v>294</v>
      </c>
      <c r="C283" s="1" t="s">
        <v>13</v>
      </c>
      <c r="D283" s="2">
        <v>45986.64670138889</v>
      </c>
      <c r="E283" s="3">
        <v>45986.0</v>
      </c>
      <c r="F283" s="3" t="str">
        <f t="shared" si="1"/>
        <v>November-2025</v>
      </c>
      <c r="G283" s="1">
        <v>15.0</v>
      </c>
      <c r="H283" s="1">
        <v>41800.0</v>
      </c>
      <c r="I283" s="1">
        <v>7388.0</v>
      </c>
      <c r="J283" s="1">
        <v>15250.0</v>
      </c>
      <c r="K283" s="1">
        <v>19162.0</v>
      </c>
    </row>
    <row r="284">
      <c r="A284" s="1" t="s">
        <v>11</v>
      </c>
      <c r="B284" s="1" t="s">
        <v>295</v>
      </c>
      <c r="C284" s="1" t="s">
        <v>13</v>
      </c>
      <c r="D284" s="2">
        <v>45986.66106481481</v>
      </c>
      <c r="E284" s="3">
        <v>45986.0</v>
      </c>
      <c r="F284" s="3" t="str">
        <f t="shared" si="1"/>
        <v>November-2025</v>
      </c>
      <c r="G284" s="1">
        <v>15.0</v>
      </c>
      <c r="H284" s="1">
        <v>47800.0</v>
      </c>
      <c r="I284" s="1">
        <v>8888.0</v>
      </c>
      <c r="J284" s="1">
        <v>15250.0</v>
      </c>
      <c r="K284" s="1">
        <v>23662.0</v>
      </c>
    </row>
    <row r="285">
      <c r="A285" s="1" t="s">
        <v>11</v>
      </c>
      <c r="B285" s="1" t="s">
        <v>296</v>
      </c>
      <c r="C285" s="1" t="s">
        <v>13</v>
      </c>
      <c r="D285" s="2">
        <v>45986.791180555556</v>
      </c>
      <c r="E285" s="3">
        <v>45986.0</v>
      </c>
      <c r="F285" s="3" t="str">
        <f t="shared" si="1"/>
        <v>November-2025</v>
      </c>
      <c r="G285" s="1">
        <v>18.0</v>
      </c>
      <c r="H285" s="1">
        <v>16900.0</v>
      </c>
      <c r="I285" s="1">
        <v>3190.0</v>
      </c>
      <c r="J285" s="1">
        <v>4141.0</v>
      </c>
      <c r="K285" s="1">
        <v>9569.0</v>
      </c>
    </row>
    <row r="286">
      <c r="A286" s="1" t="s">
        <v>11</v>
      </c>
      <c r="B286" s="1" t="s">
        <v>297</v>
      </c>
      <c r="C286" s="1" t="s">
        <v>13</v>
      </c>
      <c r="D286" s="2">
        <v>45986.86704861111</v>
      </c>
      <c r="E286" s="3">
        <v>45986.0</v>
      </c>
      <c r="F286" s="3" t="str">
        <f t="shared" si="1"/>
        <v>November-2025</v>
      </c>
      <c r="G286" s="1">
        <v>20.0</v>
      </c>
      <c r="H286" s="1">
        <v>33000.0</v>
      </c>
      <c r="I286" s="1">
        <v>5623.0</v>
      </c>
      <c r="J286" s="1">
        <v>12511.0</v>
      </c>
      <c r="K286" s="1">
        <v>14866.0</v>
      </c>
    </row>
    <row r="287">
      <c r="A287" s="1" t="s">
        <v>11</v>
      </c>
      <c r="B287" s="1" t="s">
        <v>298</v>
      </c>
      <c r="C287" s="1" t="s">
        <v>13</v>
      </c>
      <c r="D287" s="2">
        <v>45986.88497685185</v>
      </c>
      <c r="E287" s="3">
        <v>45986.0</v>
      </c>
      <c r="F287" s="3" t="str">
        <f t="shared" si="1"/>
        <v>November-2025</v>
      </c>
      <c r="G287" s="1">
        <v>21.0</v>
      </c>
      <c r="H287" s="1">
        <v>21900.0</v>
      </c>
      <c r="I287" s="1">
        <v>4250.0</v>
      </c>
      <c r="J287" s="1">
        <v>4900.0</v>
      </c>
      <c r="K287" s="1">
        <v>12750.0</v>
      </c>
    </row>
    <row r="288">
      <c r="A288" s="1" t="s">
        <v>11</v>
      </c>
      <c r="B288" s="1" t="s">
        <v>299</v>
      </c>
      <c r="C288" s="1" t="s">
        <v>13</v>
      </c>
      <c r="D288" s="2">
        <v>45986.89481481481</v>
      </c>
      <c r="E288" s="3">
        <v>45986.0</v>
      </c>
      <c r="F288" s="3" t="str">
        <f t="shared" si="1"/>
        <v>November-2025</v>
      </c>
      <c r="G288" s="1">
        <v>21.0</v>
      </c>
      <c r="H288" s="1">
        <v>31200.0</v>
      </c>
      <c r="I288" s="1">
        <v>5507.0</v>
      </c>
      <c r="J288" s="1">
        <v>11173.0</v>
      </c>
      <c r="K288" s="1">
        <v>14520.0</v>
      </c>
    </row>
    <row r="289">
      <c r="A289" s="1" t="s">
        <v>11</v>
      </c>
      <c r="B289" s="1" t="s">
        <v>300</v>
      </c>
      <c r="C289" s="1" t="s">
        <v>13</v>
      </c>
      <c r="D289" s="2">
        <v>45986.903599537036</v>
      </c>
      <c r="E289" s="3">
        <v>45986.0</v>
      </c>
      <c r="F289" s="3" t="str">
        <f t="shared" si="1"/>
        <v>November-2025</v>
      </c>
      <c r="G289" s="1">
        <v>21.0</v>
      </c>
      <c r="H289" s="1">
        <v>31200.0</v>
      </c>
      <c r="I289" s="1">
        <v>5507.0</v>
      </c>
      <c r="J289" s="1">
        <v>11173.0</v>
      </c>
      <c r="K289" s="1">
        <v>14520.0</v>
      </c>
    </row>
    <row r="290">
      <c r="A290" s="1" t="s">
        <v>11</v>
      </c>
      <c r="B290" s="1" t="s">
        <v>301</v>
      </c>
      <c r="C290" s="1" t="s">
        <v>13</v>
      </c>
      <c r="D290" s="2">
        <v>45986.93429398148</v>
      </c>
      <c r="E290" s="3">
        <v>45986.0</v>
      </c>
      <c r="F290" s="3" t="str">
        <f t="shared" si="1"/>
        <v>November-2025</v>
      </c>
      <c r="G290" s="1">
        <v>22.0</v>
      </c>
      <c r="H290" s="1">
        <v>16900.0</v>
      </c>
      <c r="I290" s="1">
        <v>3190.0</v>
      </c>
      <c r="J290" s="1">
        <v>4141.0</v>
      </c>
      <c r="K290" s="1">
        <v>9569.0</v>
      </c>
    </row>
    <row r="291">
      <c r="A291" s="1" t="s">
        <v>11</v>
      </c>
      <c r="B291" s="1" t="s">
        <v>302</v>
      </c>
      <c r="C291" s="1" t="s">
        <v>13</v>
      </c>
      <c r="D291" s="2">
        <v>45986.94414351852</v>
      </c>
      <c r="E291" s="3">
        <v>45986.0</v>
      </c>
      <c r="F291" s="3" t="str">
        <f t="shared" si="1"/>
        <v>November-2025</v>
      </c>
      <c r="G291" s="1">
        <v>22.0</v>
      </c>
      <c r="H291" s="1">
        <v>23900.0</v>
      </c>
      <c r="I291" s="1">
        <v>4750.0</v>
      </c>
      <c r="J291" s="1">
        <v>4900.0</v>
      </c>
      <c r="K291" s="1">
        <v>14250.0</v>
      </c>
    </row>
    <row r="292">
      <c r="A292" s="1" t="s">
        <v>11</v>
      </c>
      <c r="B292" s="1" t="s">
        <v>303</v>
      </c>
      <c r="C292" s="1" t="s">
        <v>13</v>
      </c>
      <c r="D292" s="2">
        <v>45986.96729166667</v>
      </c>
      <c r="E292" s="3">
        <v>45986.0</v>
      </c>
      <c r="F292" s="3" t="str">
        <f t="shared" si="1"/>
        <v>November-2025</v>
      </c>
      <c r="G292" s="1">
        <v>23.0</v>
      </c>
      <c r="H292" s="1">
        <v>38400.0</v>
      </c>
      <c r="I292" s="1">
        <v>7150.0</v>
      </c>
      <c r="J292" s="1">
        <v>11800.0</v>
      </c>
      <c r="K292" s="1">
        <v>19450.0</v>
      </c>
    </row>
    <row r="293">
      <c r="A293" s="1" t="s">
        <v>11</v>
      </c>
      <c r="B293" s="1" t="s">
        <v>304</v>
      </c>
      <c r="C293" s="1" t="s">
        <v>13</v>
      </c>
      <c r="D293" s="2">
        <v>45987.76119212963</v>
      </c>
      <c r="E293" s="3">
        <v>45987.0</v>
      </c>
      <c r="F293" s="3" t="str">
        <f t="shared" si="1"/>
        <v>November-2025</v>
      </c>
      <c r="G293" s="1">
        <v>18.0</v>
      </c>
      <c r="H293" s="1">
        <v>43800.0</v>
      </c>
      <c r="I293" s="1">
        <v>8500.0</v>
      </c>
      <c r="J293" s="1">
        <v>12800.0</v>
      </c>
      <c r="K293" s="1">
        <v>22500.0</v>
      </c>
    </row>
    <row r="294">
      <c r="A294" s="1" t="s">
        <v>11</v>
      </c>
      <c r="B294" s="1" t="s">
        <v>305</v>
      </c>
      <c r="C294" s="1" t="s">
        <v>13</v>
      </c>
      <c r="D294" s="2">
        <v>45987.78457175926</v>
      </c>
      <c r="E294" s="3">
        <v>45987.0</v>
      </c>
      <c r="F294" s="3" t="str">
        <f t="shared" si="1"/>
        <v>November-2025</v>
      </c>
      <c r="G294" s="1">
        <v>18.0</v>
      </c>
      <c r="H294" s="1">
        <v>33200.0</v>
      </c>
      <c r="I294" s="1">
        <v>5860.0</v>
      </c>
      <c r="J294" s="1">
        <v>11761.0</v>
      </c>
      <c r="K294" s="1">
        <v>15579.0</v>
      </c>
    </row>
    <row r="295">
      <c r="A295" s="1" t="s">
        <v>11</v>
      </c>
      <c r="B295" s="1" t="s">
        <v>306</v>
      </c>
      <c r="C295" s="1" t="s">
        <v>13</v>
      </c>
      <c r="D295" s="2">
        <v>45987.78796296296</v>
      </c>
      <c r="E295" s="3">
        <v>45987.0</v>
      </c>
      <c r="F295" s="3" t="str">
        <f t="shared" si="1"/>
        <v>November-2025</v>
      </c>
      <c r="G295" s="1">
        <v>18.0</v>
      </c>
      <c r="H295" s="1">
        <v>36300.0</v>
      </c>
      <c r="I295" s="1">
        <v>6625.0</v>
      </c>
      <c r="J295" s="1">
        <v>11800.0</v>
      </c>
      <c r="K295" s="1">
        <v>17875.0</v>
      </c>
    </row>
    <row r="296">
      <c r="A296" s="1" t="s">
        <v>11</v>
      </c>
      <c r="B296" s="1" t="s">
        <v>307</v>
      </c>
      <c r="C296" s="1" t="s">
        <v>13</v>
      </c>
      <c r="D296" s="2">
        <v>45987.80615740741</v>
      </c>
      <c r="E296" s="3">
        <v>45987.0</v>
      </c>
      <c r="F296" s="3" t="str">
        <f t="shared" si="1"/>
        <v>November-2025</v>
      </c>
      <c r="G296" s="1">
        <v>19.0</v>
      </c>
      <c r="H296" s="1">
        <v>61100.0</v>
      </c>
      <c r="I296" s="1">
        <v>12213.0</v>
      </c>
      <c r="J296" s="1">
        <v>16250.0</v>
      </c>
      <c r="K296" s="1">
        <v>32637.0</v>
      </c>
    </row>
    <row r="297">
      <c r="A297" s="1" t="s">
        <v>11</v>
      </c>
      <c r="B297" s="1" t="s">
        <v>308</v>
      </c>
      <c r="C297" s="1" t="s">
        <v>13</v>
      </c>
      <c r="D297" s="2">
        <v>45987.80837962963</v>
      </c>
      <c r="E297" s="3">
        <v>45987.0</v>
      </c>
      <c r="F297" s="3" t="str">
        <f t="shared" si="1"/>
        <v>November-2025</v>
      </c>
      <c r="G297" s="1">
        <v>19.0</v>
      </c>
      <c r="H297" s="1">
        <v>21900.0</v>
      </c>
      <c r="I297" s="1">
        <v>4250.0</v>
      </c>
      <c r="J297" s="1">
        <v>4900.0</v>
      </c>
      <c r="K297" s="1">
        <v>12750.0</v>
      </c>
    </row>
    <row r="298">
      <c r="A298" s="1" t="s">
        <v>11</v>
      </c>
      <c r="B298" s="1" t="s">
        <v>309</v>
      </c>
      <c r="C298" s="1" t="s">
        <v>13</v>
      </c>
      <c r="D298" s="2">
        <v>45987.808657407404</v>
      </c>
      <c r="E298" s="3">
        <v>45987.0</v>
      </c>
      <c r="F298" s="3" t="str">
        <f t="shared" si="1"/>
        <v>November-2025</v>
      </c>
      <c r="G298" s="1">
        <v>19.0</v>
      </c>
      <c r="H298" s="1">
        <v>53700.0</v>
      </c>
      <c r="I298" s="1">
        <v>10975.0</v>
      </c>
      <c r="J298" s="1">
        <v>13800.0</v>
      </c>
      <c r="K298" s="1">
        <v>28925.0</v>
      </c>
    </row>
    <row r="299">
      <c r="A299" s="1" t="s">
        <v>11</v>
      </c>
      <c r="B299" s="1" t="s">
        <v>310</v>
      </c>
      <c r="C299" s="1" t="s">
        <v>13</v>
      </c>
      <c r="D299" s="2">
        <v>45987.81364583333</v>
      </c>
      <c r="E299" s="3">
        <v>45987.0</v>
      </c>
      <c r="F299" s="3" t="str">
        <f t="shared" si="1"/>
        <v>November-2025</v>
      </c>
      <c r="G299" s="1">
        <v>19.0</v>
      </c>
      <c r="H299" s="1">
        <v>43800.0</v>
      </c>
      <c r="I299" s="1">
        <v>7888.0</v>
      </c>
      <c r="J299" s="1">
        <v>15250.0</v>
      </c>
      <c r="K299" s="1">
        <v>20662.0</v>
      </c>
    </row>
    <row r="300">
      <c r="A300" s="1" t="s">
        <v>11</v>
      </c>
      <c r="B300" s="1" t="s">
        <v>311</v>
      </c>
      <c r="C300" s="1" t="s">
        <v>13</v>
      </c>
      <c r="D300" s="2">
        <v>45987.84222222222</v>
      </c>
      <c r="E300" s="3">
        <v>45987.0</v>
      </c>
      <c r="F300" s="3" t="str">
        <f t="shared" si="1"/>
        <v>November-2025</v>
      </c>
      <c r="G300" s="1">
        <v>20.0</v>
      </c>
      <c r="H300" s="1">
        <v>21900.0</v>
      </c>
      <c r="I300" s="1">
        <v>4250.0</v>
      </c>
      <c r="J300" s="1">
        <v>4900.0</v>
      </c>
      <c r="K300" s="1">
        <v>12750.0</v>
      </c>
    </row>
    <row r="301">
      <c r="A301" s="1" t="s">
        <v>11</v>
      </c>
      <c r="B301" s="1" t="s">
        <v>312</v>
      </c>
      <c r="C301" s="1" t="s">
        <v>13</v>
      </c>
      <c r="D301" s="2">
        <v>45987.84521990741</v>
      </c>
      <c r="E301" s="3">
        <v>45987.0</v>
      </c>
      <c r="F301" s="3" t="str">
        <f t="shared" si="1"/>
        <v>November-2025</v>
      </c>
      <c r="G301" s="1">
        <v>20.0</v>
      </c>
      <c r="H301" s="1">
        <v>36800.0</v>
      </c>
      <c r="I301" s="1">
        <v>6270.0</v>
      </c>
      <c r="J301" s="1">
        <v>13721.0</v>
      </c>
      <c r="K301" s="1">
        <v>16809.0</v>
      </c>
    </row>
    <row r="302">
      <c r="A302" s="1" t="s">
        <v>11</v>
      </c>
      <c r="B302" s="1" t="s">
        <v>313</v>
      </c>
      <c r="C302" s="1" t="s">
        <v>13</v>
      </c>
      <c r="D302" s="2">
        <v>45987.845509259256</v>
      </c>
      <c r="E302" s="3">
        <v>45987.0</v>
      </c>
      <c r="F302" s="3" t="str">
        <f t="shared" si="1"/>
        <v>November-2025</v>
      </c>
      <c r="G302" s="1">
        <v>20.0</v>
      </c>
      <c r="H302" s="1">
        <v>30800.0</v>
      </c>
      <c r="I302" s="1">
        <v>5436.0</v>
      </c>
      <c r="J302" s="1">
        <v>11056.0</v>
      </c>
      <c r="K302" s="1">
        <v>14308.0</v>
      </c>
    </row>
    <row r="303">
      <c r="A303" s="1" t="s">
        <v>11</v>
      </c>
      <c r="B303" s="1" t="s">
        <v>314</v>
      </c>
      <c r="C303" s="1" t="s">
        <v>13</v>
      </c>
      <c r="D303" s="2">
        <v>45987.88837962963</v>
      </c>
      <c r="E303" s="3">
        <v>45987.0</v>
      </c>
      <c r="F303" s="3" t="str">
        <f t="shared" si="1"/>
        <v>November-2025</v>
      </c>
      <c r="G303" s="1">
        <v>21.0</v>
      </c>
      <c r="H303" s="1">
        <v>31600.0</v>
      </c>
      <c r="I303" s="1">
        <v>5384.0</v>
      </c>
      <c r="J303" s="1">
        <v>12065.0</v>
      </c>
      <c r="K303" s="1">
        <v>14151.0</v>
      </c>
    </row>
    <row r="304">
      <c r="A304" s="1" t="s">
        <v>11</v>
      </c>
      <c r="B304" s="1" t="s">
        <v>315</v>
      </c>
      <c r="C304" s="1" t="s">
        <v>13</v>
      </c>
      <c r="D304" s="2">
        <v>45987.89565972222</v>
      </c>
      <c r="E304" s="3">
        <v>45987.0</v>
      </c>
      <c r="F304" s="3" t="str">
        <f t="shared" si="1"/>
        <v>November-2025</v>
      </c>
      <c r="G304" s="1">
        <v>21.0</v>
      </c>
      <c r="H304" s="1">
        <v>31700.0</v>
      </c>
      <c r="I304" s="1">
        <v>5595.0</v>
      </c>
      <c r="J304" s="1">
        <v>11320.0</v>
      </c>
      <c r="K304" s="1">
        <v>14785.0</v>
      </c>
    </row>
    <row r="305">
      <c r="A305" s="1" t="s">
        <v>11</v>
      </c>
      <c r="B305" s="1" t="s">
        <v>316</v>
      </c>
      <c r="C305" s="1" t="s">
        <v>13</v>
      </c>
      <c r="D305" s="2">
        <v>45987.90184027778</v>
      </c>
      <c r="E305" s="3">
        <v>45987.0</v>
      </c>
      <c r="F305" s="3" t="str">
        <f t="shared" si="1"/>
        <v>November-2025</v>
      </c>
      <c r="G305" s="1">
        <v>21.0</v>
      </c>
      <c r="H305" s="1">
        <v>45700.0</v>
      </c>
      <c r="I305" s="1">
        <v>8363.0</v>
      </c>
      <c r="J305" s="1">
        <v>15250.0</v>
      </c>
      <c r="K305" s="1">
        <v>22087.0</v>
      </c>
    </row>
    <row r="306">
      <c r="A306" s="1" t="s">
        <v>11</v>
      </c>
      <c r="B306" s="1" t="s">
        <v>317</v>
      </c>
      <c r="C306" s="1" t="s">
        <v>13</v>
      </c>
      <c r="D306" s="2">
        <v>45987.93523148148</v>
      </c>
      <c r="E306" s="3">
        <v>45987.0</v>
      </c>
      <c r="F306" s="3" t="str">
        <f t="shared" si="1"/>
        <v>November-2025</v>
      </c>
      <c r="G306" s="1">
        <v>22.0</v>
      </c>
      <c r="H306" s="1">
        <v>43300.0</v>
      </c>
      <c r="I306" s="1">
        <v>7763.0</v>
      </c>
      <c r="J306" s="1">
        <v>15250.0</v>
      </c>
      <c r="K306" s="1">
        <v>20287.0</v>
      </c>
    </row>
    <row r="307">
      <c r="A307" s="1" t="s">
        <v>11</v>
      </c>
      <c r="B307" s="1" t="s">
        <v>318</v>
      </c>
      <c r="C307" s="1" t="s">
        <v>13</v>
      </c>
      <c r="D307" s="2">
        <v>45987.935949074075</v>
      </c>
      <c r="E307" s="3">
        <v>45987.0</v>
      </c>
      <c r="F307" s="3" t="str">
        <f t="shared" si="1"/>
        <v>November-2025</v>
      </c>
      <c r="G307" s="1">
        <v>22.0</v>
      </c>
      <c r="H307" s="1">
        <v>18400.0</v>
      </c>
      <c r="I307" s="1">
        <v>4600.0</v>
      </c>
      <c r="J307" s="1">
        <v>0.0</v>
      </c>
      <c r="K307" s="1">
        <v>13800.0</v>
      </c>
    </row>
    <row r="308">
      <c r="A308" s="1" t="s">
        <v>11</v>
      </c>
      <c r="B308" s="1" t="s">
        <v>319</v>
      </c>
      <c r="C308" s="1" t="s">
        <v>13</v>
      </c>
      <c r="D308" s="2">
        <v>45987.94291666667</v>
      </c>
      <c r="E308" s="3">
        <v>45987.0</v>
      </c>
      <c r="F308" s="3" t="str">
        <f t="shared" si="1"/>
        <v>November-2025</v>
      </c>
      <c r="G308" s="1">
        <v>22.0</v>
      </c>
      <c r="H308" s="1">
        <v>26900.0</v>
      </c>
      <c r="I308" s="1">
        <v>5500.0</v>
      </c>
      <c r="J308" s="1">
        <v>4900.0</v>
      </c>
      <c r="K308" s="1">
        <v>16500.0</v>
      </c>
    </row>
    <row r="309">
      <c r="A309" s="1" t="s">
        <v>11</v>
      </c>
      <c r="B309" s="1" t="s">
        <v>320</v>
      </c>
      <c r="C309" s="1" t="s">
        <v>13</v>
      </c>
      <c r="D309" s="2">
        <v>45987.943703703706</v>
      </c>
      <c r="E309" s="3">
        <v>45987.0</v>
      </c>
      <c r="F309" s="3" t="str">
        <f t="shared" si="1"/>
        <v>November-2025</v>
      </c>
      <c r="G309" s="1">
        <v>22.0</v>
      </c>
      <c r="H309" s="1">
        <v>47200.0</v>
      </c>
      <c r="I309" s="1">
        <v>8738.0</v>
      </c>
      <c r="J309" s="1">
        <v>15250.0</v>
      </c>
      <c r="K309" s="1">
        <v>23212.0</v>
      </c>
    </row>
    <row r="310">
      <c r="A310" s="1" t="s">
        <v>11</v>
      </c>
      <c r="B310" s="1" t="s">
        <v>321</v>
      </c>
      <c r="C310" s="1" t="s">
        <v>13</v>
      </c>
      <c r="D310" s="2">
        <v>45988.522835648146</v>
      </c>
      <c r="E310" s="3">
        <v>45988.0</v>
      </c>
      <c r="F310" s="3" t="str">
        <f t="shared" si="1"/>
        <v>November-2025</v>
      </c>
      <c r="G310" s="1">
        <v>12.0</v>
      </c>
      <c r="H310" s="1">
        <v>47300.0</v>
      </c>
      <c r="I310" s="1">
        <v>9375.0</v>
      </c>
      <c r="J310" s="1">
        <v>12800.0</v>
      </c>
      <c r="K310" s="1">
        <v>25125.0</v>
      </c>
    </row>
    <row r="311">
      <c r="A311" s="1" t="s">
        <v>11</v>
      </c>
      <c r="B311" s="1" t="s">
        <v>322</v>
      </c>
      <c r="C311" s="1" t="s">
        <v>13</v>
      </c>
      <c r="D311" s="2">
        <v>45988.58060185185</v>
      </c>
      <c r="E311" s="3">
        <v>45988.0</v>
      </c>
      <c r="F311" s="3" t="str">
        <f t="shared" si="1"/>
        <v>November-2025</v>
      </c>
      <c r="G311" s="1">
        <v>13.0</v>
      </c>
      <c r="H311" s="1">
        <v>53600.0</v>
      </c>
      <c r="I311" s="1">
        <v>10633.0</v>
      </c>
      <c r="J311" s="1">
        <v>14069.0</v>
      </c>
      <c r="K311" s="1">
        <v>28898.0</v>
      </c>
    </row>
    <row r="312">
      <c r="A312" s="1" t="s">
        <v>11</v>
      </c>
      <c r="B312" s="1" t="s">
        <v>323</v>
      </c>
      <c r="C312" s="1" t="s">
        <v>13</v>
      </c>
      <c r="D312" s="2">
        <v>45988.64048611111</v>
      </c>
      <c r="E312" s="3">
        <v>45988.0</v>
      </c>
      <c r="F312" s="3" t="str">
        <f t="shared" si="1"/>
        <v>November-2025</v>
      </c>
      <c r="G312" s="1">
        <v>15.0</v>
      </c>
      <c r="H312" s="1">
        <v>32800.0</v>
      </c>
      <c r="I312" s="1">
        <v>5789.0</v>
      </c>
      <c r="J312" s="1">
        <v>11644.0</v>
      </c>
      <c r="K312" s="1">
        <v>15367.0</v>
      </c>
    </row>
    <row r="313">
      <c r="A313" s="1" t="s">
        <v>11</v>
      </c>
      <c r="B313" s="1" t="s">
        <v>324</v>
      </c>
      <c r="C313" s="1" t="s">
        <v>13</v>
      </c>
      <c r="D313" s="2">
        <v>45988.653703703705</v>
      </c>
      <c r="E313" s="3">
        <v>45988.0</v>
      </c>
      <c r="F313" s="3" t="str">
        <f t="shared" si="1"/>
        <v>November-2025</v>
      </c>
      <c r="G313" s="1">
        <v>15.0</v>
      </c>
      <c r="H313" s="1">
        <v>153300.0</v>
      </c>
      <c r="I313" s="1">
        <v>29281.0</v>
      </c>
      <c r="J313" s="1">
        <v>43179.0</v>
      </c>
      <c r="K313" s="1">
        <v>80840.0</v>
      </c>
    </row>
    <row r="314">
      <c r="A314" s="1" t="s">
        <v>11</v>
      </c>
      <c r="B314" s="1" t="s">
        <v>325</v>
      </c>
      <c r="C314" s="1" t="s">
        <v>13</v>
      </c>
      <c r="D314" s="2">
        <v>45988.65688657408</v>
      </c>
      <c r="E314" s="3">
        <v>45988.0</v>
      </c>
      <c r="F314" s="3" t="str">
        <f t="shared" si="1"/>
        <v>November-2025</v>
      </c>
      <c r="G314" s="1">
        <v>15.0</v>
      </c>
      <c r="H314" s="1">
        <v>43800.0</v>
      </c>
      <c r="I314" s="1">
        <v>7888.0</v>
      </c>
      <c r="J314" s="1">
        <v>15250.0</v>
      </c>
      <c r="K314" s="1">
        <v>20662.0</v>
      </c>
    </row>
    <row r="315">
      <c r="A315" s="1" t="s">
        <v>11</v>
      </c>
      <c r="B315" s="1" t="s">
        <v>326</v>
      </c>
      <c r="C315" s="1" t="s">
        <v>13</v>
      </c>
      <c r="D315" s="2">
        <v>45988.71747685185</v>
      </c>
      <c r="E315" s="3">
        <v>45988.0</v>
      </c>
      <c r="F315" s="3" t="str">
        <f t="shared" si="1"/>
        <v>November-2025</v>
      </c>
      <c r="G315" s="1">
        <v>17.0</v>
      </c>
      <c r="H315" s="1">
        <v>62900.0</v>
      </c>
      <c r="I315" s="1">
        <v>12663.0</v>
      </c>
      <c r="J315" s="1">
        <v>16250.0</v>
      </c>
      <c r="K315" s="1">
        <v>33987.0</v>
      </c>
    </row>
    <row r="316">
      <c r="A316" s="1" t="s">
        <v>11</v>
      </c>
      <c r="B316" s="1" t="s">
        <v>327</v>
      </c>
      <c r="C316" s="1" t="s">
        <v>13</v>
      </c>
      <c r="D316" s="2">
        <v>45988.719363425924</v>
      </c>
      <c r="E316" s="3">
        <v>45988.0</v>
      </c>
      <c r="F316" s="3" t="str">
        <f t="shared" si="1"/>
        <v>November-2025</v>
      </c>
      <c r="G316" s="1">
        <v>17.0</v>
      </c>
      <c r="H316" s="1">
        <v>43800.0</v>
      </c>
      <c r="I316" s="1">
        <v>7888.0</v>
      </c>
      <c r="J316" s="1">
        <v>15250.0</v>
      </c>
      <c r="K316" s="1">
        <v>20662.0</v>
      </c>
    </row>
    <row r="317">
      <c r="A317" s="1" t="s">
        <v>11</v>
      </c>
      <c r="B317" s="1" t="s">
        <v>328</v>
      </c>
      <c r="C317" s="1" t="s">
        <v>13</v>
      </c>
      <c r="D317" s="2">
        <v>45988.75601851852</v>
      </c>
      <c r="E317" s="3">
        <v>45988.0</v>
      </c>
      <c r="F317" s="3" t="str">
        <f t="shared" si="1"/>
        <v>November-2025</v>
      </c>
      <c r="G317" s="1">
        <v>18.0</v>
      </c>
      <c r="H317" s="1">
        <v>44400.0</v>
      </c>
      <c r="I317" s="1">
        <v>8038.0</v>
      </c>
      <c r="J317" s="1">
        <v>15250.0</v>
      </c>
      <c r="K317" s="1">
        <v>21112.0</v>
      </c>
    </row>
    <row r="318">
      <c r="A318" s="1" t="s">
        <v>11</v>
      </c>
      <c r="B318" s="1" t="s">
        <v>329</v>
      </c>
      <c r="C318" s="1" t="s">
        <v>13</v>
      </c>
      <c r="D318" s="2">
        <v>45988.793032407404</v>
      </c>
      <c r="E318" s="3">
        <v>45988.0</v>
      </c>
      <c r="F318" s="3" t="str">
        <f t="shared" si="1"/>
        <v>November-2025</v>
      </c>
      <c r="G318" s="1">
        <v>19.0</v>
      </c>
      <c r="H318" s="1">
        <v>69600.0</v>
      </c>
      <c r="I318" s="1">
        <v>13807.0</v>
      </c>
      <c r="J318" s="1">
        <v>18373.0</v>
      </c>
      <c r="K318" s="1">
        <v>37420.0</v>
      </c>
    </row>
    <row r="319">
      <c r="A319" s="1" t="s">
        <v>11</v>
      </c>
      <c r="B319" s="1" t="s">
        <v>330</v>
      </c>
      <c r="C319" s="1" t="s">
        <v>13</v>
      </c>
      <c r="D319" s="2">
        <v>45988.7934837963</v>
      </c>
      <c r="E319" s="3">
        <v>45988.0</v>
      </c>
      <c r="F319" s="3" t="str">
        <f t="shared" si="1"/>
        <v>November-2025</v>
      </c>
      <c r="G319" s="1">
        <v>19.0</v>
      </c>
      <c r="H319" s="1">
        <v>21900.0</v>
      </c>
      <c r="I319" s="1">
        <v>5475.0</v>
      </c>
      <c r="J319" s="1">
        <v>0.0</v>
      </c>
      <c r="K319" s="1">
        <v>16425.0</v>
      </c>
    </row>
    <row r="320">
      <c r="A320" s="1" t="s">
        <v>11</v>
      </c>
      <c r="B320" s="1" t="s">
        <v>331</v>
      </c>
      <c r="C320" s="1" t="s">
        <v>13</v>
      </c>
      <c r="D320" s="2">
        <v>45988.80762731482</v>
      </c>
      <c r="E320" s="3">
        <v>45988.0</v>
      </c>
      <c r="F320" s="3" t="str">
        <f t="shared" si="1"/>
        <v>November-2025</v>
      </c>
      <c r="G320" s="1">
        <v>19.0</v>
      </c>
      <c r="H320" s="1">
        <v>33800.0</v>
      </c>
      <c r="I320" s="1">
        <v>5759.0</v>
      </c>
      <c r="J320" s="1">
        <v>12766.0</v>
      </c>
      <c r="K320" s="1">
        <v>15275.0</v>
      </c>
    </row>
    <row r="321">
      <c r="A321" s="1" t="s">
        <v>11</v>
      </c>
      <c r="B321" s="1" t="s">
        <v>332</v>
      </c>
      <c r="C321" s="1" t="s">
        <v>13</v>
      </c>
      <c r="D321" s="2">
        <v>45988.810960648145</v>
      </c>
      <c r="E321" s="3">
        <v>45988.0</v>
      </c>
      <c r="F321" s="3" t="str">
        <f t="shared" si="1"/>
        <v>November-2025</v>
      </c>
      <c r="G321" s="1">
        <v>19.0</v>
      </c>
      <c r="H321" s="1">
        <v>33400.0</v>
      </c>
      <c r="I321" s="1">
        <v>5900.0</v>
      </c>
      <c r="J321" s="1">
        <v>11800.0</v>
      </c>
      <c r="K321" s="1">
        <v>15700.0</v>
      </c>
    </row>
    <row r="322">
      <c r="A322" s="1" t="s">
        <v>11</v>
      </c>
      <c r="B322" s="1" t="s">
        <v>333</v>
      </c>
      <c r="C322" s="1" t="s">
        <v>13</v>
      </c>
      <c r="D322" s="2">
        <v>45988.81575231482</v>
      </c>
      <c r="E322" s="3">
        <v>45988.0</v>
      </c>
      <c r="F322" s="3" t="str">
        <f t="shared" si="1"/>
        <v>November-2025</v>
      </c>
      <c r="G322" s="1">
        <v>19.0</v>
      </c>
      <c r="H322" s="1">
        <v>18800.0</v>
      </c>
      <c r="I322" s="1">
        <v>4700.0</v>
      </c>
      <c r="J322" s="1">
        <v>0.0</v>
      </c>
      <c r="K322" s="1">
        <v>14100.0</v>
      </c>
    </row>
    <row r="323">
      <c r="A323" s="1" t="s">
        <v>11</v>
      </c>
      <c r="B323" s="1" t="s">
        <v>334</v>
      </c>
      <c r="C323" s="1" t="s">
        <v>13</v>
      </c>
      <c r="D323" s="2">
        <v>45988.81575231482</v>
      </c>
      <c r="E323" s="3">
        <v>45988.0</v>
      </c>
      <c r="F323" s="3" t="str">
        <f t="shared" si="1"/>
        <v>November-2025</v>
      </c>
      <c r="G323" s="1">
        <v>19.0</v>
      </c>
      <c r="H323" s="1">
        <v>36300.0</v>
      </c>
      <c r="I323" s="1">
        <v>6185.0</v>
      </c>
      <c r="J323" s="1">
        <v>13562.0</v>
      </c>
      <c r="K323" s="1">
        <v>16553.0</v>
      </c>
    </row>
    <row r="324">
      <c r="A324" s="1" t="s">
        <v>11</v>
      </c>
      <c r="B324" s="1" t="s">
        <v>335</v>
      </c>
      <c r="C324" s="1" t="s">
        <v>13</v>
      </c>
      <c r="D324" s="2">
        <v>45988.83725694445</v>
      </c>
      <c r="E324" s="3">
        <v>45988.0</v>
      </c>
      <c r="F324" s="3" t="str">
        <f t="shared" si="1"/>
        <v>November-2025</v>
      </c>
      <c r="G324" s="1">
        <v>20.0</v>
      </c>
      <c r="H324" s="1">
        <v>31700.0</v>
      </c>
      <c r="I324" s="1">
        <v>5595.0</v>
      </c>
      <c r="J324" s="1">
        <v>11320.0</v>
      </c>
      <c r="K324" s="1">
        <v>14785.0</v>
      </c>
    </row>
    <row r="325">
      <c r="A325" s="1" t="s">
        <v>11</v>
      </c>
      <c r="B325" s="1" t="s">
        <v>336</v>
      </c>
      <c r="C325" s="1" t="s">
        <v>13</v>
      </c>
      <c r="D325" s="2">
        <v>45988.85653935185</v>
      </c>
      <c r="E325" s="3">
        <v>45988.0</v>
      </c>
      <c r="F325" s="3" t="str">
        <f t="shared" si="1"/>
        <v>November-2025</v>
      </c>
      <c r="G325" s="1">
        <v>20.0</v>
      </c>
      <c r="H325" s="1">
        <v>36700.0</v>
      </c>
      <c r="I325" s="1">
        <v>6725.0</v>
      </c>
      <c r="J325" s="1">
        <v>11800.0</v>
      </c>
      <c r="K325" s="1">
        <v>18175.0</v>
      </c>
    </row>
    <row r="326">
      <c r="A326" s="1" t="s">
        <v>11</v>
      </c>
      <c r="B326" s="1" t="s">
        <v>337</v>
      </c>
      <c r="C326" s="1" t="s">
        <v>13</v>
      </c>
      <c r="D326" s="2">
        <v>45988.91820601852</v>
      </c>
      <c r="E326" s="3">
        <v>45988.0</v>
      </c>
      <c r="F326" s="3" t="str">
        <f t="shared" si="1"/>
        <v>November-2025</v>
      </c>
      <c r="G326" s="1">
        <v>22.0</v>
      </c>
      <c r="H326" s="1">
        <v>38600.0</v>
      </c>
      <c r="I326" s="1">
        <v>7200.0</v>
      </c>
      <c r="J326" s="1">
        <v>11800.0</v>
      </c>
      <c r="K326" s="1">
        <v>19600.0</v>
      </c>
    </row>
    <row r="327">
      <c r="A327" s="1" t="s">
        <v>11</v>
      </c>
      <c r="B327" s="1" t="s">
        <v>338</v>
      </c>
      <c r="C327" s="1" t="s">
        <v>13</v>
      </c>
      <c r="D327" s="2">
        <v>45988.945231481484</v>
      </c>
      <c r="E327" s="3">
        <v>45988.0</v>
      </c>
      <c r="F327" s="3" t="str">
        <f t="shared" si="1"/>
        <v>November-2025</v>
      </c>
      <c r="G327" s="1">
        <v>22.0</v>
      </c>
      <c r="H327" s="1">
        <v>25700.0</v>
      </c>
      <c r="I327" s="1">
        <v>5200.0</v>
      </c>
      <c r="J327" s="1">
        <v>4900.0</v>
      </c>
      <c r="K327" s="1">
        <v>15600.0</v>
      </c>
    </row>
    <row r="328">
      <c r="A328" s="1" t="s">
        <v>11</v>
      </c>
      <c r="B328" s="1" t="s">
        <v>339</v>
      </c>
      <c r="C328" s="1" t="s">
        <v>13</v>
      </c>
      <c r="D328" s="2">
        <v>45988.945243055554</v>
      </c>
      <c r="E328" s="3">
        <v>45988.0</v>
      </c>
      <c r="F328" s="3" t="str">
        <f t="shared" si="1"/>
        <v>November-2025</v>
      </c>
      <c r="G328" s="1">
        <v>22.0</v>
      </c>
      <c r="H328" s="1">
        <v>45600.0</v>
      </c>
      <c r="I328" s="1">
        <v>9563.0</v>
      </c>
      <c r="J328" s="1">
        <v>10350.0</v>
      </c>
      <c r="K328" s="1">
        <v>25687.0</v>
      </c>
    </row>
    <row r="329">
      <c r="A329" s="1" t="s">
        <v>11</v>
      </c>
      <c r="B329" s="1" t="s">
        <v>340</v>
      </c>
      <c r="C329" s="1" t="s">
        <v>13</v>
      </c>
      <c r="D329" s="2">
        <v>45988.94929398148</v>
      </c>
      <c r="E329" s="3">
        <v>45988.0</v>
      </c>
      <c r="F329" s="3" t="str">
        <f t="shared" si="1"/>
        <v>November-2025</v>
      </c>
      <c r="G329" s="1">
        <v>22.0</v>
      </c>
      <c r="H329" s="1">
        <v>43800.0</v>
      </c>
      <c r="I329" s="1">
        <v>7888.0</v>
      </c>
      <c r="J329" s="1">
        <v>15250.0</v>
      </c>
      <c r="K329" s="1">
        <v>20662.0</v>
      </c>
    </row>
    <row r="330">
      <c r="A330" s="1" t="s">
        <v>11</v>
      </c>
      <c r="B330" s="1" t="s">
        <v>341</v>
      </c>
      <c r="C330" s="1" t="s">
        <v>13</v>
      </c>
      <c r="D330" s="2">
        <v>45988.971087962964</v>
      </c>
      <c r="E330" s="3">
        <v>45988.0</v>
      </c>
      <c r="F330" s="3" t="str">
        <f t="shared" si="1"/>
        <v>November-2025</v>
      </c>
      <c r="G330" s="1">
        <v>23.0</v>
      </c>
      <c r="H330" s="1">
        <v>43800.0</v>
      </c>
      <c r="I330" s="1">
        <v>8500.0</v>
      </c>
      <c r="J330" s="1">
        <v>12800.0</v>
      </c>
      <c r="K330" s="1">
        <v>22500.0</v>
      </c>
    </row>
    <row r="331">
      <c r="A331" s="1" t="s">
        <v>11</v>
      </c>
      <c r="B331" s="1" t="s">
        <v>342</v>
      </c>
      <c r="C331" s="1" t="s">
        <v>13</v>
      </c>
      <c r="D331" s="2">
        <v>45988.97556712963</v>
      </c>
      <c r="E331" s="3">
        <v>45988.0</v>
      </c>
      <c r="F331" s="3" t="str">
        <f t="shared" si="1"/>
        <v>November-2025</v>
      </c>
      <c r="G331" s="1">
        <v>23.0</v>
      </c>
      <c r="H331" s="1">
        <v>92600.0</v>
      </c>
      <c r="I331" s="1">
        <v>18370.0</v>
      </c>
      <c r="J331" s="1">
        <v>23122.0</v>
      </c>
      <c r="K331" s="1">
        <v>51108.0</v>
      </c>
    </row>
    <row r="332">
      <c r="A332" s="1" t="s">
        <v>11</v>
      </c>
      <c r="B332" s="1" t="s">
        <v>343</v>
      </c>
      <c r="C332" s="1" t="s">
        <v>13</v>
      </c>
      <c r="D332" s="2">
        <v>45989.622395833336</v>
      </c>
      <c r="E332" s="3">
        <v>45989.0</v>
      </c>
      <c r="F332" s="3" t="str">
        <f t="shared" si="1"/>
        <v>November-2025</v>
      </c>
      <c r="G332" s="1">
        <v>14.0</v>
      </c>
      <c r="H332" s="1">
        <v>26500.0</v>
      </c>
      <c r="I332" s="1">
        <v>5400.0</v>
      </c>
      <c r="J332" s="1">
        <v>4900.0</v>
      </c>
      <c r="K332" s="1">
        <v>16200.0</v>
      </c>
    </row>
    <row r="333">
      <c r="A333" s="1" t="s">
        <v>11</v>
      </c>
      <c r="B333" s="1" t="s">
        <v>344</v>
      </c>
      <c r="C333" s="1" t="s">
        <v>13</v>
      </c>
      <c r="D333" s="2">
        <v>45989.63891203704</v>
      </c>
      <c r="E333" s="3">
        <v>45989.0</v>
      </c>
      <c r="F333" s="3" t="str">
        <f t="shared" si="1"/>
        <v>November-2025</v>
      </c>
      <c r="G333" s="1">
        <v>15.0</v>
      </c>
      <c r="H333" s="1">
        <v>22500.0</v>
      </c>
      <c r="I333" s="1">
        <v>5625.0</v>
      </c>
      <c r="J333" s="1">
        <v>0.0</v>
      </c>
      <c r="K333" s="1">
        <v>16875.0</v>
      </c>
    </row>
    <row r="334">
      <c r="A334" s="1" t="s">
        <v>11</v>
      </c>
      <c r="B334" s="1" t="s">
        <v>345</v>
      </c>
      <c r="C334" s="1" t="s">
        <v>13</v>
      </c>
      <c r="D334" s="2">
        <v>45989.77806712963</v>
      </c>
      <c r="E334" s="3">
        <v>45989.0</v>
      </c>
      <c r="F334" s="3" t="str">
        <f t="shared" si="1"/>
        <v>November-2025</v>
      </c>
      <c r="G334" s="1">
        <v>18.0</v>
      </c>
      <c r="H334" s="1">
        <v>21900.0</v>
      </c>
      <c r="I334" s="1">
        <v>4250.0</v>
      </c>
      <c r="J334" s="1">
        <v>4900.0</v>
      </c>
      <c r="K334" s="1">
        <v>12750.0</v>
      </c>
    </row>
    <row r="335">
      <c r="A335" s="1" t="s">
        <v>11</v>
      </c>
      <c r="B335" s="1" t="s">
        <v>346</v>
      </c>
      <c r="C335" s="1" t="s">
        <v>13</v>
      </c>
      <c r="D335" s="2">
        <v>45989.8571875</v>
      </c>
      <c r="E335" s="3">
        <v>45989.0</v>
      </c>
      <c r="F335" s="3" t="str">
        <f t="shared" si="1"/>
        <v>November-2025</v>
      </c>
      <c r="G335" s="1">
        <v>20.0</v>
      </c>
      <c r="H335" s="1">
        <v>21900.0</v>
      </c>
      <c r="I335" s="1">
        <v>4250.0</v>
      </c>
      <c r="J335" s="1">
        <v>4900.0</v>
      </c>
      <c r="K335" s="1">
        <v>12750.0</v>
      </c>
    </row>
    <row r="336">
      <c r="A336" s="1" t="s">
        <v>11</v>
      </c>
      <c r="B336" s="1" t="s">
        <v>347</v>
      </c>
      <c r="C336" s="1" t="s">
        <v>13</v>
      </c>
      <c r="D336" s="2">
        <v>45989.87163194444</v>
      </c>
      <c r="E336" s="3">
        <v>45989.0</v>
      </c>
      <c r="F336" s="3" t="str">
        <f t="shared" si="1"/>
        <v>November-2025</v>
      </c>
      <c r="G336" s="1">
        <v>20.0</v>
      </c>
      <c r="H336" s="1">
        <v>26700.0</v>
      </c>
      <c r="I336" s="1">
        <v>5450.0</v>
      </c>
      <c r="J336" s="1">
        <v>4900.0</v>
      </c>
      <c r="K336" s="1">
        <v>16350.0</v>
      </c>
    </row>
    <row r="337">
      <c r="A337" s="1" t="s">
        <v>11</v>
      </c>
      <c r="B337" s="1" t="s">
        <v>348</v>
      </c>
      <c r="C337" s="1" t="s">
        <v>13</v>
      </c>
      <c r="D337" s="2">
        <v>45989.90712962963</v>
      </c>
      <c r="E337" s="3">
        <v>45989.0</v>
      </c>
      <c r="F337" s="3" t="str">
        <f t="shared" si="1"/>
        <v>November-2025</v>
      </c>
      <c r="G337" s="1">
        <v>21.0</v>
      </c>
      <c r="H337" s="1">
        <v>21900.0</v>
      </c>
      <c r="I337" s="1">
        <v>5475.0</v>
      </c>
      <c r="J337" s="1">
        <v>0.0</v>
      </c>
      <c r="K337" s="1">
        <v>16425.0</v>
      </c>
    </row>
    <row r="338">
      <c r="A338" s="1" t="s">
        <v>11</v>
      </c>
      <c r="B338" s="1" t="s">
        <v>349</v>
      </c>
      <c r="C338" s="1" t="s">
        <v>13</v>
      </c>
      <c r="D338" s="2">
        <v>45989.943136574075</v>
      </c>
      <c r="E338" s="3">
        <v>45989.0</v>
      </c>
      <c r="F338" s="3" t="str">
        <f t="shared" si="1"/>
        <v>November-2025</v>
      </c>
      <c r="G338" s="1">
        <v>22.0</v>
      </c>
      <c r="H338" s="1">
        <v>21900.0</v>
      </c>
      <c r="I338" s="1">
        <v>5475.0</v>
      </c>
      <c r="J338" s="1">
        <v>0.0</v>
      </c>
      <c r="K338" s="1">
        <v>16425.0</v>
      </c>
    </row>
    <row r="339">
      <c r="A339" s="1" t="s">
        <v>11</v>
      </c>
      <c r="B339" s="1" t="s">
        <v>350</v>
      </c>
      <c r="C339" s="1" t="s">
        <v>13</v>
      </c>
      <c r="D339" s="2">
        <v>45990.58775462963</v>
      </c>
      <c r="E339" s="3">
        <v>45990.0</v>
      </c>
      <c r="F339" s="3" t="str">
        <f t="shared" si="1"/>
        <v>November-2025</v>
      </c>
      <c r="G339" s="1">
        <v>14.0</v>
      </c>
      <c r="H339" s="1">
        <v>73000.0</v>
      </c>
      <c r="I339" s="1">
        <v>14482.0</v>
      </c>
      <c r="J339" s="1">
        <v>19075.0</v>
      </c>
      <c r="K339" s="1">
        <v>39443.0</v>
      </c>
    </row>
    <row r="340">
      <c r="A340" s="1" t="s">
        <v>11</v>
      </c>
      <c r="B340" s="1" t="s">
        <v>351</v>
      </c>
      <c r="C340" s="1" t="s">
        <v>13</v>
      </c>
      <c r="D340" s="2">
        <v>45990.75184027778</v>
      </c>
      <c r="E340" s="3">
        <v>45990.0</v>
      </c>
      <c r="F340" s="3" t="str">
        <f t="shared" si="1"/>
        <v>November-2025</v>
      </c>
      <c r="G340" s="1">
        <v>18.0</v>
      </c>
      <c r="H340" s="1">
        <v>37000.0</v>
      </c>
      <c r="I340" s="1">
        <v>7437.0</v>
      </c>
      <c r="J340" s="1">
        <v>9252.0</v>
      </c>
      <c r="K340" s="1">
        <v>20311.0</v>
      </c>
    </row>
    <row r="341">
      <c r="A341" s="1" t="s">
        <v>11</v>
      </c>
      <c r="B341" s="1" t="s">
        <v>352</v>
      </c>
      <c r="C341" s="1" t="s">
        <v>13</v>
      </c>
      <c r="D341" s="2">
        <v>45990.847453703704</v>
      </c>
      <c r="E341" s="3">
        <v>45990.0</v>
      </c>
      <c r="F341" s="3" t="str">
        <f t="shared" si="1"/>
        <v>November-2025</v>
      </c>
      <c r="G341" s="1">
        <v>20.0</v>
      </c>
      <c r="H341" s="1">
        <v>57800.0</v>
      </c>
      <c r="I341" s="1">
        <v>11466.0</v>
      </c>
      <c r="J341" s="1">
        <v>15936.0</v>
      </c>
      <c r="K341" s="1">
        <v>30398.0</v>
      </c>
    </row>
    <row r="342">
      <c r="A342" s="1" t="s">
        <v>11</v>
      </c>
      <c r="B342" s="1" t="s">
        <v>353</v>
      </c>
      <c r="C342" s="1" t="s">
        <v>13</v>
      </c>
      <c r="D342" s="2">
        <v>45990.877754629626</v>
      </c>
      <c r="E342" s="3">
        <v>45990.0</v>
      </c>
      <c r="F342" s="3" t="str">
        <f t="shared" si="1"/>
        <v>November-2025</v>
      </c>
      <c r="G342" s="1">
        <v>21.0</v>
      </c>
      <c r="H342" s="1">
        <v>37400.0</v>
      </c>
      <c r="I342" s="1">
        <v>7518.0</v>
      </c>
      <c r="J342" s="1">
        <v>9331.0</v>
      </c>
      <c r="K342" s="1">
        <v>20551.0</v>
      </c>
    </row>
    <row r="343">
      <c r="A343" s="1" t="s">
        <v>11</v>
      </c>
      <c r="B343" s="1" t="s">
        <v>354</v>
      </c>
      <c r="C343" s="1" t="s">
        <v>13</v>
      </c>
      <c r="D343" s="2">
        <v>45990.90355324074</v>
      </c>
      <c r="E343" s="3">
        <v>45990.0</v>
      </c>
      <c r="F343" s="3" t="str">
        <f t="shared" si="1"/>
        <v>November-2025</v>
      </c>
      <c r="G343" s="1">
        <v>21.0</v>
      </c>
      <c r="H343" s="1">
        <v>41700.0</v>
      </c>
      <c r="I343" s="1">
        <v>10425.0</v>
      </c>
      <c r="J343" s="1">
        <v>2000.0</v>
      </c>
      <c r="K343" s="1">
        <v>29275.0</v>
      </c>
    </row>
    <row r="344">
      <c r="A344" s="1" t="s">
        <v>11</v>
      </c>
      <c r="B344" s="1" t="s">
        <v>355</v>
      </c>
      <c r="C344" s="1" t="s">
        <v>13</v>
      </c>
      <c r="D344" s="2">
        <v>45990.9296412037</v>
      </c>
      <c r="E344" s="3">
        <v>45990.0</v>
      </c>
      <c r="F344" s="3" t="str">
        <f t="shared" si="1"/>
        <v>November-2025</v>
      </c>
      <c r="G344" s="1">
        <v>22.0</v>
      </c>
      <c r="H344" s="1">
        <v>30000.0</v>
      </c>
      <c r="I344" s="1">
        <v>5295.0</v>
      </c>
      <c r="J344" s="1">
        <v>10820.0</v>
      </c>
      <c r="K344" s="1">
        <v>13885.0</v>
      </c>
    </row>
    <row r="345">
      <c r="A345" s="1" t="s">
        <v>11</v>
      </c>
      <c r="B345" s="1" t="s">
        <v>356</v>
      </c>
      <c r="C345" s="1" t="s">
        <v>13</v>
      </c>
      <c r="D345" s="2">
        <v>45990.94446759259</v>
      </c>
      <c r="E345" s="3">
        <v>45990.0</v>
      </c>
      <c r="F345" s="3" t="str">
        <f t="shared" si="1"/>
        <v>November-2025</v>
      </c>
      <c r="G345" s="1">
        <v>22.0</v>
      </c>
      <c r="H345" s="1">
        <v>10900.0</v>
      </c>
      <c r="I345" s="1">
        <v>2058.0</v>
      </c>
      <c r="J345" s="1">
        <v>2671.0</v>
      </c>
      <c r="K345" s="1">
        <v>6171.0</v>
      </c>
    </row>
    <row r="346">
      <c r="A346" s="1" t="s">
        <v>11</v>
      </c>
      <c r="B346" s="1" t="s">
        <v>357</v>
      </c>
      <c r="C346" s="1" t="s">
        <v>13</v>
      </c>
      <c r="D346" s="2">
        <v>45990.94446759259</v>
      </c>
      <c r="E346" s="3">
        <v>45990.0</v>
      </c>
      <c r="F346" s="3" t="str">
        <f t="shared" si="1"/>
        <v>November-2025</v>
      </c>
      <c r="G346" s="1">
        <v>22.0</v>
      </c>
      <c r="H346" s="1">
        <v>33400.0</v>
      </c>
      <c r="I346" s="1">
        <v>6714.0</v>
      </c>
      <c r="J346" s="1">
        <v>8547.0</v>
      </c>
      <c r="K346" s="1">
        <v>18139.0</v>
      </c>
    </row>
    <row r="347">
      <c r="A347" s="1" t="s">
        <v>11</v>
      </c>
      <c r="B347" s="1" t="s">
        <v>358</v>
      </c>
      <c r="C347" s="1" t="s">
        <v>13</v>
      </c>
      <c r="D347" s="2">
        <v>45991.485497685186</v>
      </c>
      <c r="E347" s="3">
        <v>45991.0</v>
      </c>
      <c r="F347" s="3" t="str">
        <f t="shared" si="1"/>
        <v>November-2025</v>
      </c>
      <c r="G347" s="1">
        <v>11.0</v>
      </c>
      <c r="H347" s="1">
        <v>22900.0</v>
      </c>
      <c r="I347" s="1">
        <v>4500.0</v>
      </c>
      <c r="J347" s="1">
        <v>4900.0</v>
      </c>
      <c r="K347" s="1">
        <v>13500.0</v>
      </c>
    </row>
    <row r="348">
      <c r="A348" s="1" t="s">
        <v>11</v>
      </c>
      <c r="B348" s="1" t="s">
        <v>359</v>
      </c>
      <c r="C348" s="1" t="s">
        <v>13</v>
      </c>
      <c r="D348" s="2">
        <v>45991.51957175926</v>
      </c>
      <c r="E348" s="3">
        <v>45991.0</v>
      </c>
      <c r="F348" s="3" t="str">
        <f t="shared" si="1"/>
        <v>November-2025</v>
      </c>
      <c r="G348" s="1">
        <v>12.0</v>
      </c>
      <c r="H348" s="1">
        <v>53700.0</v>
      </c>
      <c r="I348" s="1">
        <v>10653.0</v>
      </c>
      <c r="J348" s="1">
        <v>15090.0</v>
      </c>
      <c r="K348" s="1">
        <v>27957.0</v>
      </c>
    </row>
    <row r="349">
      <c r="A349" s="1" t="s">
        <v>11</v>
      </c>
      <c r="B349" s="1" t="s">
        <v>360</v>
      </c>
      <c r="C349" s="1" t="s">
        <v>13</v>
      </c>
      <c r="D349" s="2">
        <v>45991.5206712963</v>
      </c>
      <c r="E349" s="3">
        <v>45991.0</v>
      </c>
      <c r="F349" s="3" t="str">
        <f t="shared" si="1"/>
        <v>November-2025</v>
      </c>
      <c r="G349" s="1">
        <v>12.0</v>
      </c>
      <c r="H349" s="1">
        <v>25300.0</v>
      </c>
      <c r="I349" s="1">
        <v>5100.0</v>
      </c>
      <c r="J349" s="1">
        <v>4900.0</v>
      </c>
      <c r="K349" s="1">
        <v>15300.0</v>
      </c>
    </row>
    <row r="350">
      <c r="A350" s="1" t="s">
        <v>11</v>
      </c>
      <c r="B350" s="1" t="s">
        <v>361</v>
      </c>
      <c r="C350" s="1" t="s">
        <v>13</v>
      </c>
      <c r="D350" s="2">
        <v>45991.555659722224</v>
      </c>
      <c r="E350" s="3">
        <v>45991.0</v>
      </c>
      <c r="F350" s="3" t="str">
        <f t="shared" si="1"/>
        <v>November-2025</v>
      </c>
      <c r="G350" s="1">
        <v>13.0</v>
      </c>
      <c r="H350" s="1">
        <v>21800.0</v>
      </c>
      <c r="I350" s="1">
        <v>4225.0</v>
      </c>
      <c r="J350" s="1">
        <v>4900.0</v>
      </c>
      <c r="K350" s="1">
        <v>12675.0</v>
      </c>
    </row>
    <row r="351">
      <c r="A351" s="1" t="s">
        <v>11</v>
      </c>
      <c r="B351" s="1" t="s">
        <v>362</v>
      </c>
      <c r="C351" s="1" t="s">
        <v>13</v>
      </c>
      <c r="D351" s="2">
        <v>45991.56648148148</v>
      </c>
      <c r="E351" s="3">
        <v>45991.0</v>
      </c>
      <c r="F351" s="3" t="str">
        <f t="shared" si="1"/>
        <v>November-2025</v>
      </c>
      <c r="G351" s="1">
        <v>13.0</v>
      </c>
      <c r="H351" s="1">
        <v>26500.0</v>
      </c>
      <c r="I351" s="1">
        <v>5400.0</v>
      </c>
      <c r="J351" s="1">
        <v>4900.0</v>
      </c>
      <c r="K351" s="1">
        <v>16200.0</v>
      </c>
    </row>
    <row r="352">
      <c r="A352" s="1" t="s">
        <v>11</v>
      </c>
      <c r="B352" s="1" t="s">
        <v>363</v>
      </c>
      <c r="C352" s="1" t="s">
        <v>13</v>
      </c>
      <c r="D352" s="2">
        <v>45991.58899305556</v>
      </c>
      <c r="E352" s="3">
        <v>45991.0</v>
      </c>
      <c r="F352" s="3" t="str">
        <f t="shared" si="1"/>
        <v>November-2025</v>
      </c>
      <c r="G352" s="1">
        <v>14.0</v>
      </c>
      <c r="H352" s="1">
        <v>22900.0</v>
      </c>
      <c r="I352" s="1">
        <v>5725.0</v>
      </c>
      <c r="J352" s="1">
        <v>0.0</v>
      </c>
      <c r="K352" s="1">
        <v>17175.0</v>
      </c>
    </row>
    <row r="353">
      <c r="A353" s="1" t="s">
        <v>11</v>
      </c>
      <c r="B353" s="1" t="s">
        <v>364</v>
      </c>
      <c r="C353" s="1" t="s">
        <v>13</v>
      </c>
      <c r="D353" s="2">
        <v>45991.632418981484</v>
      </c>
      <c r="E353" s="3">
        <v>45991.0</v>
      </c>
      <c r="F353" s="3" t="str">
        <f t="shared" si="1"/>
        <v>November-2025</v>
      </c>
      <c r="G353" s="1">
        <v>15.0</v>
      </c>
      <c r="H353" s="1">
        <v>70600.0</v>
      </c>
      <c r="I353" s="1">
        <v>14006.0</v>
      </c>
      <c r="J353" s="1">
        <v>18579.0</v>
      </c>
      <c r="K353" s="1">
        <v>38015.0</v>
      </c>
    </row>
    <row r="354">
      <c r="A354" s="1" t="s">
        <v>11</v>
      </c>
      <c r="B354" s="1" t="s">
        <v>365</v>
      </c>
      <c r="C354" s="1" t="s">
        <v>13</v>
      </c>
      <c r="D354" s="2">
        <v>45991.647002314814</v>
      </c>
      <c r="E354" s="3">
        <v>45991.0</v>
      </c>
      <c r="F354" s="3" t="str">
        <f t="shared" si="1"/>
        <v>November-2025</v>
      </c>
      <c r="G354" s="1">
        <v>15.0</v>
      </c>
      <c r="H354" s="1">
        <v>56700.0</v>
      </c>
      <c r="I354" s="1">
        <v>11248.0</v>
      </c>
      <c r="J354" s="1">
        <v>15709.0</v>
      </c>
      <c r="K354" s="1">
        <v>29743.0</v>
      </c>
    </row>
    <row r="355">
      <c r="A355" s="1" t="s">
        <v>11</v>
      </c>
      <c r="B355" s="1" t="s">
        <v>366</v>
      </c>
      <c r="C355" s="1" t="s">
        <v>13</v>
      </c>
      <c r="D355" s="2">
        <v>45991.68407407407</v>
      </c>
      <c r="E355" s="3">
        <v>45991.0</v>
      </c>
      <c r="F355" s="3" t="str">
        <f t="shared" si="1"/>
        <v>November-2025</v>
      </c>
      <c r="G355" s="1">
        <v>16.0</v>
      </c>
      <c r="H355" s="1">
        <v>21800.0</v>
      </c>
      <c r="I355" s="1">
        <v>4225.0</v>
      </c>
      <c r="J355" s="1">
        <v>4900.0</v>
      </c>
      <c r="K355" s="1">
        <v>12675.0</v>
      </c>
    </row>
    <row r="356">
      <c r="A356" s="1" t="s">
        <v>11</v>
      </c>
      <c r="B356" s="1" t="s">
        <v>367</v>
      </c>
      <c r="C356" s="1" t="s">
        <v>13</v>
      </c>
      <c r="D356" s="2">
        <v>45991.726539351854</v>
      </c>
      <c r="E356" s="3">
        <v>45991.0</v>
      </c>
      <c r="F356" s="3" t="str">
        <f t="shared" si="1"/>
        <v>November-2025</v>
      </c>
      <c r="G356" s="1">
        <v>17.0</v>
      </c>
      <c r="H356" s="1">
        <v>30700.0</v>
      </c>
      <c r="I356" s="1">
        <v>6171.0</v>
      </c>
      <c r="J356" s="1">
        <v>8018.0</v>
      </c>
      <c r="K356" s="1">
        <v>16511.0</v>
      </c>
    </row>
    <row r="357">
      <c r="A357" s="1" t="s">
        <v>11</v>
      </c>
      <c r="B357" s="1" t="s">
        <v>368</v>
      </c>
      <c r="C357" s="1" t="s">
        <v>13</v>
      </c>
      <c r="D357" s="2">
        <v>45991.737175925926</v>
      </c>
      <c r="E357" s="3">
        <v>45991.0</v>
      </c>
      <c r="F357" s="3" t="str">
        <f t="shared" si="1"/>
        <v>November-2025</v>
      </c>
      <c r="G357" s="1">
        <v>17.0</v>
      </c>
      <c r="H357" s="1">
        <v>17900.0</v>
      </c>
      <c r="I357" s="1">
        <v>3598.0</v>
      </c>
      <c r="J357" s="1">
        <v>3509.0</v>
      </c>
      <c r="K357" s="1">
        <v>10793.0</v>
      </c>
    </row>
    <row r="358">
      <c r="A358" s="1" t="s">
        <v>11</v>
      </c>
      <c r="B358" s="1" t="s">
        <v>369</v>
      </c>
      <c r="C358" s="1" t="s">
        <v>13</v>
      </c>
      <c r="D358" s="2">
        <v>45991.77195601852</v>
      </c>
      <c r="E358" s="3">
        <v>45991.0</v>
      </c>
      <c r="F358" s="3" t="str">
        <f t="shared" si="1"/>
        <v>November-2025</v>
      </c>
      <c r="G358" s="1">
        <v>18.0</v>
      </c>
      <c r="H358" s="1">
        <v>18500.0</v>
      </c>
      <c r="I358" s="1">
        <v>3492.0</v>
      </c>
      <c r="J358" s="1">
        <v>4533.0</v>
      </c>
      <c r="K358" s="1">
        <v>10475.0</v>
      </c>
    </row>
    <row r="359">
      <c r="A359" s="1" t="s">
        <v>11</v>
      </c>
      <c r="B359" s="1" t="s">
        <v>370</v>
      </c>
      <c r="C359" s="1" t="s">
        <v>13</v>
      </c>
      <c r="D359" s="2">
        <v>45991.77701388889</v>
      </c>
      <c r="E359" s="3">
        <v>45991.0</v>
      </c>
      <c r="F359" s="3" t="str">
        <f t="shared" si="1"/>
        <v>November-2025</v>
      </c>
      <c r="G359" s="1">
        <v>18.0</v>
      </c>
      <c r="H359" s="1">
        <v>26500.0</v>
      </c>
      <c r="I359" s="1">
        <v>5400.0</v>
      </c>
      <c r="J359" s="1">
        <v>4900.0</v>
      </c>
      <c r="K359" s="1">
        <v>16200.0</v>
      </c>
    </row>
    <row r="360">
      <c r="A360" s="1" t="s">
        <v>11</v>
      </c>
      <c r="B360" s="1" t="s">
        <v>371</v>
      </c>
      <c r="C360" s="1" t="s">
        <v>13</v>
      </c>
      <c r="D360" s="2">
        <v>45991.86349537037</v>
      </c>
      <c r="E360" s="3">
        <v>45991.0</v>
      </c>
      <c r="F360" s="3" t="str">
        <f t="shared" si="1"/>
        <v>November-2025</v>
      </c>
      <c r="G360" s="1">
        <v>20.0</v>
      </c>
      <c r="H360" s="1">
        <v>45900.0</v>
      </c>
      <c r="I360" s="1">
        <v>9638.0</v>
      </c>
      <c r="J360" s="1">
        <v>10350.0</v>
      </c>
      <c r="K360" s="1">
        <v>25912.0</v>
      </c>
    </row>
    <row r="361">
      <c r="A361" s="1" t="s">
        <v>11</v>
      </c>
      <c r="B361" s="1" t="s">
        <v>372</v>
      </c>
      <c r="C361" s="1" t="s">
        <v>13</v>
      </c>
      <c r="D361" s="2">
        <v>45991.86373842593</v>
      </c>
      <c r="E361" s="3">
        <v>45991.0</v>
      </c>
      <c r="F361" s="3" t="str">
        <f t="shared" si="1"/>
        <v>November-2025</v>
      </c>
      <c r="G361" s="1">
        <v>20.0</v>
      </c>
      <c r="H361" s="1">
        <v>21700.0</v>
      </c>
      <c r="I361" s="1">
        <v>4200.0</v>
      </c>
      <c r="J361" s="1">
        <v>4900.0</v>
      </c>
      <c r="K361" s="1">
        <v>12600.0</v>
      </c>
    </row>
    <row r="362">
      <c r="A362" s="1" t="s">
        <v>11</v>
      </c>
      <c r="B362" s="1" t="s">
        <v>373</v>
      </c>
      <c r="C362" s="1" t="s">
        <v>13</v>
      </c>
      <c r="D362" s="2">
        <v>45991.87986111111</v>
      </c>
      <c r="E362" s="3">
        <v>45991.0</v>
      </c>
      <c r="F362" s="3" t="str">
        <f t="shared" si="1"/>
        <v>November-2025</v>
      </c>
      <c r="G362" s="1">
        <v>21.0</v>
      </c>
      <c r="H362" s="1">
        <v>37400.0</v>
      </c>
      <c r="I362" s="1">
        <v>7518.0</v>
      </c>
      <c r="J362" s="1">
        <v>9331.0</v>
      </c>
      <c r="K362" s="1">
        <v>20551.0</v>
      </c>
    </row>
    <row r="363">
      <c r="A363" s="1" t="s">
        <v>11</v>
      </c>
      <c r="B363" s="1" t="s">
        <v>374</v>
      </c>
      <c r="C363" s="1" t="s">
        <v>13</v>
      </c>
      <c r="D363" s="2">
        <v>45991.93399305556</v>
      </c>
      <c r="E363" s="3">
        <v>45991.0</v>
      </c>
      <c r="F363" s="3" t="str">
        <f t="shared" si="1"/>
        <v>November-2025</v>
      </c>
      <c r="G363" s="1">
        <v>22.0</v>
      </c>
      <c r="H363" s="1">
        <v>22900.0</v>
      </c>
      <c r="I363" s="1">
        <v>5725.0</v>
      </c>
      <c r="J363" s="1">
        <v>0.0</v>
      </c>
      <c r="K363" s="1">
        <v>17175.0</v>
      </c>
    </row>
    <row r="364">
      <c r="A364" s="1" t="s">
        <v>11</v>
      </c>
      <c r="B364" s="1" t="s">
        <v>375</v>
      </c>
      <c r="C364" s="1" t="s">
        <v>13</v>
      </c>
      <c r="D364" s="2">
        <v>45992.507418981484</v>
      </c>
      <c r="E364" s="3">
        <v>45992.0</v>
      </c>
      <c r="F364" s="3" t="str">
        <f t="shared" si="1"/>
        <v>December-2025</v>
      </c>
      <c r="G364" s="1">
        <v>12.0</v>
      </c>
      <c r="H364" s="1">
        <v>22900.0</v>
      </c>
      <c r="I364" s="1">
        <v>4500.0</v>
      </c>
      <c r="J364" s="1">
        <v>4900.0</v>
      </c>
      <c r="K364" s="1">
        <v>13500.0</v>
      </c>
    </row>
    <row r="365">
      <c r="A365" s="1" t="s">
        <v>11</v>
      </c>
      <c r="B365" s="1" t="s">
        <v>376</v>
      </c>
      <c r="C365" s="1" t="s">
        <v>13</v>
      </c>
      <c r="D365" s="2">
        <v>45992.53511574074</v>
      </c>
      <c r="E365" s="3">
        <v>45992.0</v>
      </c>
      <c r="F365" s="3" t="str">
        <f t="shared" si="1"/>
        <v>December-2025</v>
      </c>
      <c r="G365" s="1">
        <v>12.0</v>
      </c>
      <c r="H365" s="1">
        <v>17900.0</v>
      </c>
      <c r="I365" s="1">
        <v>3379.0</v>
      </c>
      <c r="J365" s="1">
        <v>4386.0</v>
      </c>
      <c r="K365" s="1">
        <v>10135.0</v>
      </c>
    </row>
    <row r="366">
      <c r="A366" s="1" t="s">
        <v>11</v>
      </c>
      <c r="B366" s="1" t="s">
        <v>377</v>
      </c>
      <c r="C366" s="1" t="s">
        <v>13</v>
      </c>
      <c r="D366" s="2">
        <v>45992.57681712963</v>
      </c>
      <c r="E366" s="3">
        <v>45992.0</v>
      </c>
      <c r="F366" s="3" t="str">
        <f t="shared" si="1"/>
        <v>December-2025</v>
      </c>
      <c r="G366" s="1">
        <v>13.0</v>
      </c>
      <c r="H366" s="1">
        <v>17900.0</v>
      </c>
      <c r="I366" s="1">
        <v>3379.0</v>
      </c>
      <c r="J366" s="1">
        <v>4386.0</v>
      </c>
      <c r="K366" s="1">
        <v>10135.0</v>
      </c>
    </row>
    <row r="367">
      <c r="A367" s="1" t="s">
        <v>11</v>
      </c>
      <c r="B367" s="1" t="s">
        <v>378</v>
      </c>
      <c r="C367" s="1" t="s">
        <v>13</v>
      </c>
      <c r="D367" s="2">
        <v>45992.68042824074</v>
      </c>
      <c r="E367" s="3">
        <v>45992.0</v>
      </c>
      <c r="F367" s="3" t="str">
        <f t="shared" si="1"/>
        <v>December-2025</v>
      </c>
      <c r="G367" s="1">
        <v>16.0</v>
      </c>
      <c r="H367" s="1">
        <v>22900.0</v>
      </c>
      <c r="I367" s="1">
        <v>4500.0</v>
      </c>
      <c r="J367" s="1">
        <v>4900.0</v>
      </c>
      <c r="K367" s="1">
        <v>13500.0</v>
      </c>
    </row>
    <row r="368">
      <c r="A368" s="1" t="s">
        <v>11</v>
      </c>
      <c r="B368" s="1" t="s">
        <v>379</v>
      </c>
      <c r="C368" s="1" t="s">
        <v>13</v>
      </c>
      <c r="D368" s="2">
        <v>45992.691157407404</v>
      </c>
      <c r="E368" s="3">
        <v>45992.0</v>
      </c>
      <c r="F368" s="3" t="str">
        <f t="shared" si="1"/>
        <v>December-2025</v>
      </c>
      <c r="G368" s="1">
        <v>16.0</v>
      </c>
      <c r="H368" s="1">
        <v>31300.0</v>
      </c>
      <c r="I368" s="1">
        <v>6292.0</v>
      </c>
      <c r="J368" s="1">
        <v>8135.0</v>
      </c>
      <c r="K368" s="1">
        <v>16873.0</v>
      </c>
    </row>
    <row r="369">
      <c r="A369" s="1" t="s">
        <v>11</v>
      </c>
      <c r="B369" s="1" t="s">
        <v>380</v>
      </c>
      <c r="C369" s="1" t="s">
        <v>13</v>
      </c>
      <c r="D369" s="2">
        <v>45992.91143518518</v>
      </c>
      <c r="E369" s="3">
        <v>45992.0</v>
      </c>
      <c r="F369" s="3" t="str">
        <f t="shared" si="1"/>
        <v>December-2025</v>
      </c>
      <c r="G369" s="1">
        <v>21.0</v>
      </c>
      <c r="H369" s="1">
        <v>60400.0</v>
      </c>
      <c r="I369" s="1">
        <v>11982.0</v>
      </c>
      <c r="J369" s="1">
        <v>16473.0</v>
      </c>
      <c r="K369" s="1">
        <v>31945.0</v>
      </c>
    </row>
    <row r="370">
      <c r="A370" s="1" t="s">
        <v>11</v>
      </c>
      <c r="B370" s="1" t="s">
        <v>381</v>
      </c>
      <c r="C370" s="1" t="s">
        <v>13</v>
      </c>
      <c r="D370" s="2">
        <v>45992.93305555556</v>
      </c>
      <c r="E370" s="3">
        <v>45992.0</v>
      </c>
      <c r="F370" s="3" t="str">
        <f t="shared" si="1"/>
        <v>December-2025</v>
      </c>
      <c r="G370" s="1">
        <v>22.0</v>
      </c>
      <c r="H370" s="1">
        <v>103900.0</v>
      </c>
      <c r="I370" s="1">
        <v>19845.0</v>
      </c>
      <c r="J370" s="1">
        <v>33521.0</v>
      </c>
      <c r="K370" s="1">
        <v>50534.0</v>
      </c>
    </row>
    <row r="371">
      <c r="A371" s="1" t="s">
        <v>11</v>
      </c>
      <c r="B371" s="1" t="s">
        <v>382</v>
      </c>
      <c r="C371" s="1" t="s">
        <v>13</v>
      </c>
      <c r="D371" s="2">
        <v>45993.46865740741</v>
      </c>
      <c r="E371" s="3">
        <v>45993.0</v>
      </c>
      <c r="F371" s="3" t="str">
        <f t="shared" si="1"/>
        <v>December-2025</v>
      </c>
      <c r="G371" s="1">
        <v>11.0</v>
      </c>
      <c r="H371" s="1">
        <v>34300.0</v>
      </c>
      <c r="I371" s="1">
        <v>6895.0</v>
      </c>
      <c r="J371" s="1">
        <v>8723.0</v>
      </c>
      <c r="K371" s="1">
        <v>18682.0</v>
      </c>
    </row>
    <row r="372">
      <c r="A372" s="1" t="s">
        <v>11</v>
      </c>
      <c r="B372" s="1" t="s">
        <v>383</v>
      </c>
      <c r="C372" s="1" t="s">
        <v>13</v>
      </c>
      <c r="D372" s="2">
        <v>45993.506377314814</v>
      </c>
      <c r="E372" s="3">
        <v>45993.0</v>
      </c>
      <c r="F372" s="3" t="str">
        <f t="shared" si="1"/>
        <v>December-2025</v>
      </c>
      <c r="G372" s="1">
        <v>12.0</v>
      </c>
      <c r="H372" s="1">
        <v>36400.0</v>
      </c>
      <c r="I372" s="1">
        <v>7317.0</v>
      </c>
      <c r="J372" s="1">
        <v>9135.0</v>
      </c>
      <c r="K372" s="1">
        <v>19948.0</v>
      </c>
    </row>
    <row r="373">
      <c r="A373" s="1" t="s">
        <v>11</v>
      </c>
      <c r="B373" s="1" t="s">
        <v>384</v>
      </c>
      <c r="C373" s="1" t="s">
        <v>13</v>
      </c>
      <c r="D373" s="2">
        <v>45993.51479166667</v>
      </c>
      <c r="E373" s="3">
        <v>45993.0</v>
      </c>
      <c r="F373" s="3" t="str">
        <f t="shared" si="1"/>
        <v>December-2025</v>
      </c>
      <c r="G373" s="1">
        <v>12.0</v>
      </c>
      <c r="H373" s="1">
        <v>49300.0</v>
      </c>
      <c r="I373" s="1">
        <v>10488.0</v>
      </c>
      <c r="J373" s="1">
        <v>10350.0</v>
      </c>
      <c r="K373" s="1">
        <v>28462.0</v>
      </c>
    </row>
    <row r="374">
      <c r="A374" s="1" t="s">
        <v>11</v>
      </c>
      <c r="B374" s="1" t="s">
        <v>385</v>
      </c>
      <c r="C374" s="1" t="s">
        <v>13</v>
      </c>
      <c r="D374" s="2">
        <v>45993.540243055555</v>
      </c>
      <c r="E374" s="3">
        <v>45993.0</v>
      </c>
      <c r="F374" s="3" t="str">
        <f t="shared" si="1"/>
        <v>December-2025</v>
      </c>
      <c r="G374" s="1">
        <v>12.0</v>
      </c>
      <c r="H374" s="1">
        <v>31200.0</v>
      </c>
      <c r="I374" s="1">
        <v>6271.0</v>
      </c>
      <c r="J374" s="1">
        <v>8116.0</v>
      </c>
      <c r="K374" s="1">
        <v>16813.0</v>
      </c>
    </row>
    <row r="375">
      <c r="A375" s="1" t="s">
        <v>11</v>
      </c>
      <c r="B375" s="1" t="s">
        <v>386</v>
      </c>
      <c r="C375" s="1" t="s">
        <v>13</v>
      </c>
      <c r="D375" s="2">
        <v>45993.54150462963</v>
      </c>
      <c r="E375" s="3">
        <v>45993.0</v>
      </c>
      <c r="F375" s="3" t="str">
        <f t="shared" si="1"/>
        <v>December-2025</v>
      </c>
      <c r="G375" s="1">
        <v>12.0</v>
      </c>
      <c r="H375" s="1">
        <v>39200.0</v>
      </c>
      <c r="I375" s="1">
        <v>7963.0</v>
      </c>
      <c r="J375" s="1">
        <v>9350.0</v>
      </c>
      <c r="K375" s="1">
        <v>21887.0</v>
      </c>
    </row>
    <row r="376">
      <c r="A376" s="1" t="s">
        <v>11</v>
      </c>
      <c r="B376" s="1" t="s">
        <v>387</v>
      </c>
      <c r="C376" s="1" t="s">
        <v>13</v>
      </c>
      <c r="D376" s="2">
        <v>45993.57241898148</v>
      </c>
      <c r="E376" s="3">
        <v>45993.0</v>
      </c>
      <c r="F376" s="3" t="str">
        <f t="shared" si="1"/>
        <v>December-2025</v>
      </c>
      <c r="G376" s="1">
        <v>13.0</v>
      </c>
      <c r="H376" s="1">
        <v>17900.0</v>
      </c>
      <c r="I376" s="1">
        <v>3379.0</v>
      </c>
      <c r="J376" s="1">
        <v>4386.0</v>
      </c>
      <c r="K376" s="1">
        <v>10135.0</v>
      </c>
    </row>
    <row r="377">
      <c r="A377" s="1" t="s">
        <v>11</v>
      </c>
      <c r="B377" s="1" t="s">
        <v>388</v>
      </c>
      <c r="C377" s="1" t="s">
        <v>13</v>
      </c>
      <c r="D377" s="2">
        <v>45993.64644675926</v>
      </c>
      <c r="E377" s="3">
        <v>45993.0</v>
      </c>
      <c r="F377" s="3" t="str">
        <f t="shared" si="1"/>
        <v>December-2025</v>
      </c>
      <c r="G377" s="1">
        <v>15.0</v>
      </c>
      <c r="H377" s="1">
        <v>36400.0</v>
      </c>
      <c r="I377" s="1">
        <v>7317.0</v>
      </c>
      <c r="J377" s="1">
        <v>9135.0</v>
      </c>
      <c r="K377" s="1">
        <v>19948.0</v>
      </c>
    </row>
    <row r="378">
      <c r="A378" s="1" t="s">
        <v>11</v>
      </c>
      <c r="B378" s="1" t="s">
        <v>389</v>
      </c>
      <c r="C378" s="1" t="s">
        <v>13</v>
      </c>
      <c r="D378" s="2">
        <v>45993.685625</v>
      </c>
      <c r="E378" s="3">
        <v>45993.0</v>
      </c>
      <c r="F378" s="3" t="str">
        <f t="shared" si="1"/>
        <v>December-2025</v>
      </c>
      <c r="G378" s="1">
        <v>16.0</v>
      </c>
      <c r="H378" s="1">
        <v>31300.0</v>
      </c>
      <c r="I378" s="1">
        <v>6292.0</v>
      </c>
      <c r="J378" s="1">
        <v>8135.0</v>
      </c>
      <c r="K378" s="1">
        <v>16873.0</v>
      </c>
    </row>
    <row r="379">
      <c r="A379" s="1" t="s">
        <v>11</v>
      </c>
      <c r="B379" s="1" t="s">
        <v>390</v>
      </c>
      <c r="C379" s="1" t="s">
        <v>13</v>
      </c>
      <c r="D379" s="2">
        <v>45993.71314814815</v>
      </c>
      <c r="E379" s="3">
        <v>45993.0</v>
      </c>
      <c r="F379" s="3" t="str">
        <f t="shared" si="1"/>
        <v>December-2025</v>
      </c>
      <c r="G379" s="1">
        <v>17.0</v>
      </c>
      <c r="H379" s="1">
        <v>29400.0</v>
      </c>
      <c r="I379" s="1">
        <v>6125.0</v>
      </c>
      <c r="J379" s="1">
        <v>4900.0</v>
      </c>
      <c r="K379" s="1">
        <v>18375.0</v>
      </c>
    </row>
    <row r="380">
      <c r="A380" s="1" t="s">
        <v>11</v>
      </c>
      <c r="B380" s="1" t="s">
        <v>391</v>
      </c>
      <c r="C380" s="1" t="s">
        <v>13</v>
      </c>
      <c r="D380" s="2">
        <v>45993.75053240741</v>
      </c>
      <c r="E380" s="3">
        <v>45993.0</v>
      </c>
      <c r="F380" s="3" t="str">
        <f t="shared" si="1"/>
        <v>December-2025</v>
      </c>
      <c r="G380" s="1">
        <v>18.0</v>
      </c>
      <c r="H380" s="1">
        <v>56700.0</v>
      </c>
      <c r="I380" s="1">
        <v>11248.0</v>
      </c>
      <c r="J380" s="1">
        <v>15709.0</v>
      </c>
      <c r="K380" s="1">
        <v>29743.0</v>
      </c>
    </row>
    <row r="381">
      <c r="A381" s="1" t="s">
        <v>11</v>
      </c>
      <c r="B381" s="1" t="s">
        <v>392</v>
      </c>
      <c r="C381" s="1" t="s">
        <v>13</v>
      </c>
      <c r="D381" s="2">
        <v>45993.76372685185</v>
      </c>
      <c r="E381" s="3">
        <v>45993.0</v>
      </c>
      <c r="F381" s="3" t="str">
        <f t="shared" si="1"/>
        <v>December-2025</v>
      </c>
      <c r="G381" s="1">
        <v>18.0</v>
      </c>
      <c r="H381" s="1">
        <v>16500.0</v>
      </c>
      <c r="I381" s="1">
        <v>3115.0</v>
      </c>
      <c r="J381" s="1">
        <v>4043.0</v>
      </c>
      <c r="K381" s="1">
        <v>9342.0</v>
      </c>
    </row>
    <row r="382">
      <c r="A382" s="1" t="s">
        <v>11</v>
      </c>
      <c r="B382" s="1" t="s">
        <v>393</v>
      </c>
      <c r="C382" s="1" t="s">
        <v>13</v>
      </c>
      <c r="D382" s="2">
        <v>45993.7828125</v>
      </c>
      <c r="E382" s="3">
        <v>45993.0</v>
      </c>
      <c r="F382" s="3" t="str">
        <f t="shared" si="1"/>
        <v>December-2025</v>
      </c>
      <c r="G382" s="1">
        <v>18.0</v>
      </c>
      <c r="H382" s="1">
        <v>44300.0</v>
      </c>
      <c r="I382" s="1">
        <v>9238.0</v>
      </c>
      <c r="J382" s="1">
        <v>10350.0</v>
      </c>
      <c r="K382" s="1">
        <v>24712.0</v>
      </c>
    </row>
    <row r="383">
      <c r="A383" s="1" t="s">
        <v>11</v>
      </c>
      <c r="B383" s="1" t="s">
        <v>394</v>
      </c>
      <c r="C383" s="1" t="s">
        <v>13</v>
      </c>
      <c r="D383" s="2">
        <v>45993.79570601852</v>
      </c>
      <c r="E383" s="3">
        <v>45993.0</v>
      </c>
      <c r="F383" s="3" t="str">
        <f t="shared" si="1"/>
        <v>December-2025</v>
      </c>
      <c r="G383" s="1">
        <v>19.0</v>
      </c>
      <c r="H383" s="1">
        <v>23400.0</v>
      </c>
      <c r="I383" s="1">
        <v>5850.0</v>
      </c>
      <c r="J383" s="1">
        <v>0.0</v>
      </c>
      <c r="K383" s="1">
        <v>17550.0</v>
      </c>
    </row>
    <row r="384">
      <c r="A384" s="1" t="s">
        <v>11</v>
      </c>
      <c r="B384" s="1" t="s">
        <v>395</v>
      </c>
      <c r="C384" s="1" t="s">
        <v>13</v>
      </c>
      <c r="D384" s="2">
        <v>45993.80155092593</v>
      </c>
      <c r="E384" s="3">
        <v>45993.0</v>
      </c>
      <c r="F384" s="3" t="str">
        <f t="shared" si="1"/>
        <v>December-2025</v>
      </c>
      <c r="G384" s="1">
        <v>19.0</v>
      </c>
      <c r="H384" s="1">
        <v>27500.0</v>
      </c>
      <c r="I384" s="1">
        <v>6875.0</v>
      </c>
      <c r="J384" s="1">
        <v>0.0</v>
      </c>
      <c r="K384" s="1">
        <v>20625.0</v>
      </c>
    </row>
    <row r="385">
      <c r="A385" s="1" t="s">
        <v>11</v>
      </c>
      <c r="B385" s="1" t="s">
        <v>396</v>
      </c>
      <c r="C385" s="1" t="s">
        <v>13</v>
      </c>
      <c r="D385" s="2">
        <v>45993.83881944444</v>
      </c>
      <c r="E385" s="3">
        <v>45993.0</v>
      </c>
      <c r="F385" s="3" t="str">
        <f t="shared" si="1"/>
        <v>December-2025</v>
      </c>
      <c r="G385" s="1">
        <v>20.0</v>
      </c>
      <c r="H385" s="1">
        <v>39400.0</v>
      </c>
      <c r="I385" s="1">
        <v>8013.0</v>
      </c>
      <c r="J385" s="1">
        <v>9350.0</v>
      </c>
      <c r="K385" s="1">
        <v>22037.0</v>
      </c>
    </row>
    <row r="386">
      <c r="A386" s="1" t="s">
        <v>11</v>
      </c>
      <c r="B386" s="1" t="s">
        <v>397</v>
      </c>
      <c r="C386" s="1" t="s">
        <v>13</v>
      </c>
      <c r="D386" s="2">
        <v>45993.84574074074</v>
      </c>
      <c r="E386" s="3">
        <v>45993.0</v>
      </c>
      <c r="F386" s="3" t="str">
        <f t="shared" si="1"/>
        <v>December-2025</v>
      </c>
      <c r="G386" s="1">
        <v>20.0</v>
      </c>
      <c r="H386" s="1">
        <v>16500.0</v>
      </c>
      <c r="I386" s="1">
        <v>3115.0</v>
      </c>
      <c r="J386" s="1">
        <v>4043.0</v>
      </c>
      <c r="K386" s="1">
        <v>9342.0</v>
      </c>
    </row>
    <row r="387">
      <c r="A387" s="1" t="s">
        <v>11</v>
      </c>
      <c r="B387" s="1" t="s">
        <v>398</v>
      </c>
      <c r="C387" s="1" t="s">
        <v>13</v>
      </c>
      <c r="D387" s="2">
        <v>45993.8496875</v>
      </c>
      <c r="E387" s="3">
        <v>45993.0</v>
      </c>
      <c r="F387" s="3" t="str">
        <f t="shared" si="1"/>
        <v>December-2025</v>
      </c>
      <c r="G387" s="1">
        <v>20.0</v>
      </c>
      <c r="H387" s="1">
        <v>37300.0</v>
      </c>
      <c r="I387" s="1">
        <v>7498.0</v>
      </c>
      <c r="J387" s="1">
        <v>9311.0</v>
      </c>
      <c r="K387" s="1">
        <v>20491.0</v>
      </c>
    </row>
    <row r="388">
      <c r="A388" s="1" t="s">
        <v>11</v>
      </c>
      <c r="B388" s="1" t="s">
        <v>399</v>
      </c>
      <c r="C388" s="1" t="s">
        <v>13</v>
      </c>
      <c r="D388" s="2">
        <v>45993.865902777776</v>
      </c>
      <c r="E388" s="3">
        <v>45993.0</v>
      </c>
      <c r="F388" s="3" t="str">
        <f t="shared" si="1"/>
        <v>December-2025</v>
      </c>
      <c r="G388" s="1">
        <v>20.0</v>
      </c>
      <c r="H388" s="1">
        <v>17900.0</v>
      </c>
      <c r="I388" s="1">
        <v>3379.0</v>
      </c>
      <c r="J388" s="1">
        <v>4386.0</v>
      </c>
      <c r="K388" s="1">
        <v>10135.0</v>
      </c>
    </row>
    <row r="389">
      <c r="A389" s="1" t="s">
        <v>11</v>
      </c>
      <c r="B389" s="1" t="s">
        <v>400</v>
      </c>
      <c r="C389" s="1" t="s">
        <v>13</v>
      </c>
      <c r="D389" s="2">
        <v>45993.883356481485</v>
      </c>
      <c r="E389" s="3">
        <v>45993.0</v>
      </c>
      <c r="F389" s="3" t="str">
        <f t="shared" si="1"/>
        <v>December-2025</v>
      </c>
      <c r="G389" s="1">
        <v>21.0</v>
      </c>
      <c r="H389" s="1">
        <v>22900.0</v>
      </c>
      <c r="I389" s="1">
        <v>4500.0</v>
      </c>
      <c r="J389" s="1">
        <v>4900.0</v>
      </c>
      <c r="K389" s="1">
        <v>13500.0</v>
      </c>
    </row>
    <row r="390">
      <c r="A390" s="1" t="s">
        <v>11</v>
      </c>
      <c r="B390" s="1" t="s">
        <v>401</v>
      </c>
      <c r="C390" s="1" t="s">
        <v>13</v>
      </c>
      <c r="D390" s="2">
        <v>45993.8971875</v>
      </c>
      <c r="E390" s="3">
        <v>45993.0</v>
      </c>
      <c r="F390" s="3" t="str">
        <f t="shared" si="1"/>
        <v>December-2025</v>
      </c>
      <c r="G390" s="1">
        <v>21.0</v>
      </c>
      <c r="H390" s="1">
        <v>22900.0</v>
      </c>
      <c r="I390" s="1">
        <v>4500.0</v>
      </c>
      <c r="J390" s="1">
        <v>4900.0</v>
      </c>
      <c r="K390" s="1">
        <v>13500.0</v>
      </c>
    </row>
    <row r="391">
      <c r="A391" s="1" t="s">
        <v>11</v>
      </c>
      <c r="B391" s="1" t="s">
        <v>402</v>
      </c>
      <c r="C391" s="1" t="s">
        <v>13</v>
      </c>
      <c r="D391" s="2">
        <v>45993.899664351855</v>
      </c>
      <c r="E391" s="3">
        <v>45993.0</v>
      </c>
      <c r="F391" s="3" t="str">
        <f t="shared" si="1"/>
        <v>December-2025</v>
      </c>
      <c r="G391" s="1">
        <v>21.0</v>
      </c>
      <c r="H391" s="1">
        <v>17900.0</v>
      </c>
      <c r="I391" s="1">
        <v>3379.0</v>
      </c>
      <c r="J391" s="1">
        <v>4386.0</v>
      </c>
      <c r="K391" s="1">
        <v>10135.0</v>
      </c>
    </row>
    <row r="392">
      <c r="A392" s="1" t="s">
        <v>11</v>
      </c>
      <c r="B392" s="1" t="s">
        <v>403</v>
      </c>
      <c r="C392" s="1" t="s">
        <v>13</v>
      </c>
      <c r="D392" s="2">
        <v>45993.92545138889</v>
      </c>
      <c r="E392" s="3">
        <v>45993.0</v>
      </c>
      <c r="F392" s="3" t="str">
        <f t="shared" si="1"/>
        <v>December-2025</v>
      </c>
      <c r="G392" s="1">
        <v>22.0</v>
      </c>
      <c r="H392" s="1">
        <v>22900.0</v>
      </c>
      <c r="I392" s="1">
        <v>4500.0</v>
      </c>
      <c r="J392" s="1">
        <v>4900.0</v>
      </c>
      <c r="K392" s="1">
        <v>13500.0</v>
      </c>
    </row>
    <row r="393">
      <c r="A393" s="1" t="s">
        <v>11</v>
      </c>
      <c r="B393" s="1" t="s">
        <v>404</v>
      </c>
      <c r="C393" s="1" t="s">
        <v>13</v>
      </c>
      <c r="D393" s="2">
        <v>45993.9290625</v>
      </c>
      <c r="E393" s="3">
        <v>45993.0</v>
      </c>
      <c r="F393" s="3" t="str">
        <f t="shared" si="1"/>
        <v>December-2025</v>
      </c>
      <c r="G393" s="1">
        <v>22.0</v>
      </c>
      <c r="H393" s="1">
        <v>30700.0</v>
      </c>
      <c r="I393" s="1">
        <v>6171.0</v>
      </c>
      <c r="J393" s="1">
        <v>8018.0</v>
      </c>
      <c r="K393" s="1">
        <v>16511.0</v>
      </c>
    </row>
    <row r="394">
      <c r="A394" s="1" t="s">
        <v>11</v>
      </c>
      <c r="B394" s="1" t="s">
        <v>405</v>
      </c>
      <c r="C394" s="1" t="s">
        <v>13</v>
      </c>
      <c r="D394" s="2">
        <v>45993.93883101852</v>
      </c>
      <c r="E394" s="3">
        <v>45993.0</v>
      </c>
      <c r="F394" s="3" t="str">
        <f t="shared" si="1"/>
        <v>December-2025</v>
      </c>
      <c r="G394" s="1">
        <v>22.0</v>
      </c>
      <c r="H394" s="1">
        <v>22900.0</v>
      </c>
      <c r="I394" s="1">
        <v>5725.0</v>
      </c>
      <c r="J394" s="1">
        <v>0.0</v>
      </c>
      <c r="K394" s="1">
        <v>17175.0</v>
      </c>
    </row>
    <row r="395">
      <c r="A395" s="1" t="s">
        <v>11</v>
      </c>
      <c r="B395" s="1" t="s">
        <v>406</v>
      </c>
      <c r="C395" s="1" t="s">
        <v>13</v>
      </c>
      <c r="D395" s="2">
        <v>45994.465532407405</v>
      </c>
      <c r="E395" s="3">
        <v>45994.0</v>
      </c>
      <c r="F395" s="3" t="str">
        <f t="shared" si="1"/>
        <v>December-2025</v>
      </c>
      <c r="G395" s="1">
        <v>11.0</v>
      </c>
      <c r="H395" s="1">
        <v>31400.0</v>
      </c>
      <c r="I395" s="1">
        <v>6312.0</v>
      </c>
      <c r="J395" s="1">
        <v>8155.0</v>
      </c>
      <c r="K395" s="1">
        <v>16933.0</v>
      </c>
    </row>
    <row r="396">
      <c r="A396" s="1" t="s">
        <v>11</v>
      </c>
      <c r="B396" s="1" t="s">
        <v>407</v>
      </c>
      <c r="C396" s="1" t="s">
        <v>13</v>
      </c>
      <c r="D396" s="2">
        <v>45994.57362268519</v>
      </c>
      <c r="E396" s="3">
        <v>45994.0</v>
      </c>
      <c r="F396" s="3" t="str">
        <f t="shared" si="1"/>
        <v>December-2025</v>
      </c>
      <c r="G396" s="1">
        <v>13.0</v>
      </c>
      <c r="H396" s="1">
        <v>22900.0</v>
      </c>
      <c r="I396" s="1">
        <v>4500.0</v>
      </c>
      <c r="J396" s="1">
        <v>4900.0</v>
      </c>
      <c r="K396" s="1">
        <v>13500.0</v>
      </c>
    </row>
    <row r="397">
      <c r="A397" s="1" t="s">
        <v>11</v>
      </c>
      <c r="B397" s="1" t="s">
        <v>408</v>
      </c>
      <c r="C397" s="1" t="s">
        <v>13</v>
      </c>
      <c r="D397" s="2">
        <v>45994.84054398148</v>
      </c>
      <c r="E397" s="3">
        <v>45994.0</v>
      </c>
      <c r="F397" s="3" t="str">
        <f t="shared" si="1"/>
        <v>December-2025</v>
      </c>
      <c r="G397" s="1">
        <v>20.0</v>
      </c>
      <c r="H397" s="1">
        <v>39200.0</v>
      </c>
      <c r="I397" s="1">
        <v>7963.0</v>
      </c>
      <c r="J397" s="1">
        <v>9350.0</v>
      </c>
      <c r="K397" s="1">
        <v>21887.0</v>
      </c>
    </row>
    <row r="398">
      <c r="A398" s="1" t="s">
        <v>11</v>
      </c>
      <c r="B398" s="1" t="s">
        <v>409</v>
      </c>
      <c r="C398" s="1" t="s">
        <v>13</v>
      </c>
      <c r="D398" s="2">
        <v>45994.85736111111</v>
      </c>
      <c r="E398" s="3">
        <v>45994.0</v>
      </c>
      <c r="F398" s="3" t="str">
        <f t="shared" si="1"/>
        <v>December-2025</v>
      </c>
      <c r="G398" s="1">
        <v>20.0</v>
      </c>
      <c r="H398" s="1">
        <v>22900.0</v>
      </c>
      <c r="I398" s="1">
        <v>4500.0</v>
      </c>
      <c r="J398" s="1">
        <v>4900.0</v>
      </c>
      <c r="K398" s="1">
        <v>13500.0</v>
      </c>
    </row>
    <row r="399">
      <c r="A399" s="1" t="s">
        <v>11</v>
      </c>
      <c r="B399" s="1" t="s">
        <v>410</v>
      </c>
      <c r="C399" s="1" t="s">
        <v>13</v>
      </c>
      <c r="D399" s="2">
        <v>45994.86210648148</v>
      </c>
      <c r="E399" s="3">
        <v>45994.0</v>
      </c>
      <c r="F399" s="3" t="str">
        <f t="shared" si="1"/>
        <v>December-2025</v>
      </c>
      <c r="G399" s="1">
        <v>20.0</v>
      </c>
      <c r="H399" s="1">
        <v>45800.0</v>
      </c>
      <c r="I399" s="1">
        <v>9613.0</v>
      </c>
      <c r="J399" s="1">
        <v>10350.0</v>
      </c>
      <c r="K399" s="1">
        <v>25837.0</v>
      </c>
    </row>
    <row r="400">
      <c r="A400" s="1" t="s">
        <v>11</v>
      </c>
      <c r="B400" s="1" t="s">
        <v>411</v>
      </c>
      <c r="C400" s="1" t="s">
        <v>13</v>
      </c>
      <c r="D400" s="2">
        <v>45994.882314814815</v>
      </c>
      <c r="E400" s="3">
        <v>45994.0</v>
      </c>
      <c r="F400" s="3" t="str">
        <f t="shared" si="1"/>
        <v>December-2025</v>
      </c>
      <c r="G400" s="1">
        <v>21.0</v>
      </c>
      <c r="H400" s="1">
        <v>37300.0</v>
      </c>
      <c r="I400" s="1">
        <v>8100.0</v>
      </c>
      <c r="J400" s="1">
        <v>4900.0</v>
      </c>
      <c r="K400" s="1">
        <v>24300.0</v>
      </c>
    </row>
    <row r="401">
      <c r="A401" s="1" t="s">
        <v>11</v>
      </c>
      <c r="B401" s="1" t="s">
        <v>412</v>
      </c>
      <c r="C401" s="1" t="s">
        <v>13</v>
      </c>
      <c r="D401" s="2">
        <v>45994.8975462963</v>
      </c>
      <c r="E401" s="3">
        <v>45994.0</v>
      </c>
      <c r="F401" s="3" t="str">
        <f t="shared" si="1"/>
        <v>December-2025</v>
      </c>
      <c r="G401" s="1">
        <v>21.0</v>
      </c>
      <c r="H401" s="1">
        <v>17900.0</v>
      </c>
      <c r="I401" s="1">
        <v>3379.0</v>
      </c>
      <c r="J401" s="1">
        <v>4386.0</v>
      </c>
      <c r="K401" s="1">
        <v>10135.0</v>
      </c>
    </row>
    <row r="402">
      <c r="A402" s="1" t="s">
        <v>11</v>
      </c>
      <c r="B402" s="1" t="s">
        <v>413</v>
      </c>
      <c r="C402" s="1" t="s">
        <v>13</v>
      </c>
      <c r="D402" s="2">
        <v>45994.94116898148</v>
      </c>
      <c r="E402" s="3">
        <v>45994.0</v>
      </c>
      <c r="F402" s="3" t="str">
        <f t="shared" si="1"/>
        <v>December-2025</v>
      </c>
      <c r="G402" s="1">
        <v>22.0</v>
      </c>
      <c r="H402" s="1">
        <v>31400.0</v>
      </c>
      <c r="I402" s="1">
        <v>6312.0</v>
      </c>
      <c r="J402" s="1">
        <v>8155.0</v>
      </c>
      <c r="K402" s="1">
        <v>16933.0</v>
      </c>
    </row>
    <row r="403">
      <c r="A403" s="1" t="s">
        <v>11</v>
      </c>
      <c r="B403" s="1" t="s">
        <v>414</v>
      </c>
      <c r="C403" s="1" t="s">
        <v>13</v>
      </c>
      <c r="D403" s="2">
        <v>45994.95501157407</v>
      </c>
      <c r="E403" s="3">
        <v>45994.0</v>
      </c>
      <c r="F403" s="3" t="str">
        <f t="shared" si="1"/>
        <v>December-2025</v>
      </c>
      <c r="G403" s="1">
        <v>22.0</v>
      </c>
      <c r="H403" s="1">
        <v>24400.0</v>
      </c>
      <c r="I403" s="1">
        <v>4875.0</v>
      </c>
      <c r="J403" s="1">
        <v>4900.0</v>
      </c>
      <c r="K403" s="1">
        <v>14625.0</v>
      </c>
    </row>
    <row r="404">
      <c r="A404" s="1" t="s">
        <v>11</v>
      </c>
      <c r="B404" s="1" t="s">
        <v>415</v>
      </c>
      <c r="C404" s="1" t="s">
        <v>13</v>
      </c>
      <c r="D404" s="2">
        <v>45995.85071759259</v>
      </c>
      <c r="E404" s="3">
        <v>45995.0</v>
      </c>
      <c r="F404" s="3" t="str">
        <f t="shared" si="1"/>
        <v>December-2025</v>
      </c>
      <c r="G404" s="1">
        <v>20.0</v>
      </c>
      <c r="H404" s="1">
        <v>45800.0</v>
      </c>
      <c r="I404" s="1">
        <v>9613.0</v>
      </c>
      <c r="J404" s="1">
        <v>10350.0</v>
      </c>
      <c r="K404" s="1">
        <v>25837.0</v>
      </c>
    </row>
    <row r="405">
      <c r="A405" s="1" t="s">
        <v>11</v>
      </c>
      <c r="B405" s="1" t="s">
        <v>416</v>
      </c>
      <c r="C405" s="1" t="s">
        <v>13</v>
      </c>
      <c r="D405" s="2">
        <v>45995.85824074074</v>
      </c>
      <c r="E405" s="3">
        <v>45995.0</v>
      </c>
      <c r="F405" s="3" t="str">
        <f t="shared" si="1"/>
        <v>December-2025</v>
      </c>
      <c r="G405" s="1">
        <v>20.0</v>
      </c>
      <c r="H405" s="1">
        <v>45000.0</v>
      </c>
      <c r="I405" s="1">
        <v>9413.0</v>
      </c>
      <c r="J405" s="1">
        <v>10350.0</v>
      </c>
      <c r="K405" s="1">
        <v>25237.0</v>
      </c>
    </row>
    <row r="406">
      <c r="A406" s="1" t="s">
        <v>11</v>
      </c>
      <c r="B406" s="1" t="s">
        <v>417</v>
      </c>
      <c r="C406" s="1" t="s">
        <v>13</v>
      </c>
      <c r="D406" s="2">
        <v>45995.87105324074</v>
      </c>
      <c r="E406" s="3">
        <v>45995.0</v>
      </c>
      <c r="F406" s="3" t="str">
        <f t="shared" si="1"/>
        <v>December-2025</v>
      </c>
      <c r="G406" s="1">
        <v>20.0</v>
      </c>
      <c r="H406" s="1">
        <v>37300.0</v>
      </c>
      <c r="I406" s="1">
        <v>7498.0</v>
      </c>
      <c r="J406" s="1">
        <v>9311.0</v>
      </c>
      <c r="K406" s="1">
        <v>20491.0</v>
      </c>
    </row>
    <row r="407">
      <c r="A407" s="1" t="s">
        <v>11</v>
      </c>
      <c r="B407" s="1" t="s">
        <v>418</v>
      </c>
      <c r="C407" s="1" t="s">
        <v>13</v>
      </c>
      <c r="D407" s="2">
        <v>45995.92149305555</v>
      </c>
      <c r="E407" s="3">
        <v>45995.0</v>
      </c>
      <c r="F407" s="3" t="str">
        <f t="shared" si="1"/>
        <v>December-2025</v>
      </c>
      <c r="G407" s="1">
        <v>22.0</v>
      </c>
      <c r="H407" s="1">
        <v>20700.0</v>
      </c>
      <c r="I407" s="1">
        <v>5175.0</v>
      </c>
      <c r="J407" s="1">
        <v>0.0</v>
      </c>
      <c r="K407" s="1">
        <v>15525.0</v>
      </c>
    </row>
    <row r="408">
      <c r="A408" s="1" t="s">
        <v>11</v>
      </c>
      <c r="B408" s="1" t="s">
        <v>419</v>
      </c>
      <c r="C408" s="1" t="s">
        <v>13</v>
      </c>
      <c r="D408" s="2">
        <v>45995.92932870371</v>
      </c>
      <c r="E408" s="3">
        <v>45995.0</v>
      </c>
      <c r="F408" s="3" t="str">
        <f t="shared" si="1"/>
        <v>December-2025</v>
      </c>
      <c r="G408" s="1">
        <v>22.0</v>
      </c>
      <c r="H408" s="1">
        <v>18500.0</v>
      </c>
      <c r="I408" s="1">
        <v>3492.0</v>
      </c>
      <c r="J408" s="1">
        <v>4533.0</v>
      </c>
      <c r="K408" s="1">
        <v>10475.0</v>
      </c>
    </row>
    <row r="409">
      <c r="A409" s="1" t="s">
        <v>11</v>
      </c>
      <c r="B409" s="1" t="s">
        <v>420</v>
      </c>
      <c r="C409" s="1" t="s">
        <v>13</v>
      </c>
      <c r="D409" s="2">
        <v>45996.478842592594</v>
      </c>
      <c r="E409" s="3">
        <v>45996.0</v>
      </c>
      <c r="F409" s="3" t="str">
        <f t="shared" si="1"/>
        <v>December-2025</v>
      </c>
      <c r="G409" s="1">
        <v>11.0</v>
      </c>
      <c r="H409" s="1">
        <v>22900.0</v>
      </c>
      <c r="I409" s="1">
        <v>4500.0</v>
      </c>
      <c r="J409" s="1">
        <v>4900.0</v>
      </c>
      <c r="K409" s="1">
        <v>13500.0</v>
      </c>
    </row>
    <row r="410">
      <c r="A410" s="1" t="s">
        <v>11</v>
      </c>
      <c r="B410" s="1" t="s">
        <v>421</v>
      </c>
      <c r="C410" s="1" t="s">
        <v>13</v>
      </c>
      <c r="D410" s="2">
        <v>45996.48703703703</v>
      </c>
      <c r="E410" s="3">
        <v>45996.0</v>
      </c>
      <c r="F410" s="3" t="str">
        <f t="shared" si="1"/>
        <v>December-2025</v>
      </c>
      <c r="G410" s="1">
        <v>11.0</v>
      </c>
      <c r="H410" s="1">
        <v>39700.0</v>
      </c>
      <c r="I410" s="1">
        <v>8088.0</v>
      </c>
      <c r="J410" s="1">
        <v>9350.0</v>
      </c>
      <c r="K410" s="1">
        <v>22262.0</v>
      </c>
    </row>
    <row r="411">
      <c r="A411" s="1" t="s">
        <v>11</v>
      </c>
      <c r="B411" s="1" t="s">
        <v>422</v>
      </c>
      <c r="C411" s="1" t="s">
        <v>13</v>
      </c>
      <c r="D411" s="2">
        <v>45996.51944444444</v>
      </c>
      <c r="E411" s="3">
        <v>45996.0</v>
      </c>
      <c r="F411" s="3" t="str">
        <f t="shared" si="1"/>
        <v>December-2025</v>
      </c>
      <c r="G411" s="1">
        <v>12.0</v>
      </c>
      <c r="H411" s="1">
        <v>23400.0</v>
      </c>
      <c r="I411" s="1">
        <v>4625.0</v>
      </c>
      <c r="J411" s="1">
        <v>4900.0</v>
      </c>
      <c r="K411" s="1">
        <v>13875.0</v>
      </c>
    </row>
    <row r="412">
      <c r="A412" s="1" t="s">
        <v>11</v>
      </c>
      <c r="B412" s="1" t="s">
        <v>423</v>
      </c>
      <c r="C412" s="1" t="s">
        <v>13</v>
      </c>
      <c r="D412" s="2">
        <v>45996.564988425926</v>
      </c>
      <c r="E412" s="3">
        <v>45996.0</v>
      </c>
      <c r="F412" s="3" t="str">
        <f t="shared" si="1"/>
        <v>December-2025</v>
      </c>
      <c r="G412" s="1">
        <v>13.0</v>
      </c>
      <c r="H412" s="1">
        <v>31200.0</v>
      </c>
      <c r="I412" s="1">
        <v>6271.0</v>
      </c>
      <c r="J412" s="1">
        <v>8116.0</v>
      </c>
      <c r="K412" s="1">
        <v>16813.0</v>
      </c>
    </row>
    <row r="413">
      <c r="A413" s="1" t="s">
        <v>11</v>
      </c>
      <c r="B413" s="1" t="s">
        <v>424</v>
      </c>
      <c r="C413" s="1" t="s">
        <v>13</v>
      </c>
      <c r="D413" s="2">
        <v>45996.62881944444</v>
      </c>
      <c r="E413" s="3">
        <v>45996.0</v>
      </c>
      <c r="F413" s="3" t="str">
        <f t="shared" si="1"/>
        <v>December-2025</v>
      </c>
      <c r="G413" s="1">
        <v>15.0</v>
      </c>
      <c r="H413" s="1">
        <v>23400.0</v>
      </c>
      <c r="I413" s="1">
        <v>4625.0</v>
      </c>
      <c r="J413" s="1">
        <v>4900.0</v>
      </c>
      <c r="K413" s="1">
        <v>13875.0</v>
      </c>
    </row>
    <row r="414">
      <c r="A414" s="1" t="s">
        <v>11</v>
      </c>
      <c r="B414" s="1" t="s">
        <v>425</v>
      </c>
      <c r="C414" s="1" t="s">
        <v>13</v>
      </c>
      <c r="D414" s="2">
        <v>45996.72824074074</v>
      </c>
      <c r="E414" s="3">
        <v>45996.0</v>
      </c>
      <c r="F414" s="3" t="str">
        <f t="shared" si="1"/>
        <v>December-2025</v>
      </c>
      <c r="G414" s="1">
        <v>17.0</v>
      </c>
      <c r="H414" s="1">
        <v>92500.0</v>
      </c>
      <c r="I414" s="1">
        <v>18350.0</v>
      </c>
      <c r="J414" s="1">
        <v>23102.0</v>
      </c>
      <c r="K414" s="1">
        <v>51048.0</v>
      </c>
    </row>
    <row r="415">
      <c r="A415" s="1" t="s">
        <v>11</v>
      </c>
      <c r="B415" s="1" t="s">
        <v>426</v>
      </c>
      <c r="C415" s="1" t="s">
        <v>13</v>
      </c>
      <c r="D415" s="2">
        <v>45996.73767361111</v>
      </c>
      <c r="E415" s="3">
        <v>45996.0</v>
      </c>
      <c r="F415" s="3" t="str">
        <f t="shared" si="1"/>
        <v>December-2025</v>
      </c>
      <c r="G415" s="1">
        <v>17.0</v>
      </c>
      <c r="H415" s="1">
        <v>26300.0</v>
      </c>
      <c r="I415" s="1">
        <v>5350.0</v>
      </c>
      <c r="J415" s="1">
        <v>4900.0</v>
      </c>
      <c r="K415" s="1">
        <v>16050.0</v>
      </c>
    </row>
    <row r="416">
      <c r="A416" s="1" t="s">
        <v>11</v>
      </c>
      <c r="B416" s="1" t="s">
        <v>427</v>
      </c>
      <c r="C416" s="1" t="s">
        <v>13</v>
      </c>
      <c r="D416" s="2">
        <v>45996.75146990741</v>
      </c>
      <c r="E416" s="3">
        <v>45996.0</v>
      </c>
      <c r="F416" s="3" t="str">
        <f t="shared" si="1"/>
        <v>December-2025</v>
      </c>
      <c r="G416" s="1">
        <v>18.0</v>
      </c>
      <c r="H416" s="1">
        <v>91600.0</v>
      </c>
      <c r="I416" s="1">
        <v>18171.0</v>
      </c>
      <c r="J416" s="1">
        <v>22916.0</v>
      </c>
      <c r="K416" s="1">
        <v>50513.0</v>
      </c>
    </row>
    <row r="417">
      <c r="A417" s="1" t="s">
        <v>11</v>
      </c>
      <c r="B417" s="1" t="s">
        <v>428</v>
      </c>
      <c r="C417" s="1" t="s">
        <v>13</v>
      </c>
      <c r="D417" s="2">
        <v>45996.78015046296</v>
      </c>
      <c r="E417" s="3">
        <v>45996.0</v>
      </c>
      <c r="F417" s="3" t="str">
        <f t="shared" si="1"/>
        <v>December-2025</v>
      </c>
      <c r="G417" s="1">
        <v>18.0</v>
      </c>
      <c r="H417" s="1">
        <v>34300.0</v>
      </c>
      <c r="I417" s="1">
        <v>6895.0</v>
      </c>
      <c r="J417" s="1">
        <v>8723.0</v>
      </c>
      <c r="K417" s="1">
        <v>18682.0</v>
      </c>
    </row>
    <row r="418">
      <c r="A418" s="1" t="s">
        <v>11</v>
      </c>
      <c r="B418" s="1" t="s">
        <v>429</v>
      </c>
      <c r="C418" s="1" t="s">
        <v>13</v>
      </c>
      <c r="D418" s="2">
        <v>45996.81630787037</v>
      </c>
      <c r="E418" s="3">
        <v>45996.0</v>
      </c>
      <c r="F418" s="3" t="str">
        <f t="shared" si="1"/>
        <v>December-2025</v>
      </c>
      <c r="G418" s="1">
        <v>19.0</v>
      </c>
      <c r="H418" s="1">
        <v>17900.0</v>
      </c>
      <c r="I418" s="1">
        <v>3379.0</v>
      </c>
      <c r="J418" s="1">
        <v>4386.0</v>
      </c>
      <c r="K418" s="1">
        <v>10135.0</v>
      </c>
    </row>
    <row r="419">
      <c r="A419" s="1" t="s">
        <v>11</v>
      </c>
      <c r="B419" s="1" t="s">
        <v>430</v>
      </c>
      <c r="C419" s="1" t="s">
        <v>13</v>
      </c>
      <c r="D419" s="2">
        <v>45996.82703703704</v>
      </c>
      <c r="E419" s="3">
        <v>45996.0</v>
      </c>
      <c r="F419" s="3" t="str">
        <f t="shared" si="1"/>
        <v>December-2025</v>
      </c>
      <c r="G419" s="1">
        <v>19.0</v>
      </c>
      <c r="H419" s="1">
        <v>68700.0</v>
      </c>
      <c r="I419" s="1">
        <v>13629.0</v>
      </c>
      <c r="J419" s="1">
        <v>18187.0</v>
      </c>
      <c r="K419" s="1">
        <v>36884.0</v>
      </c>
    </row>
    <row r="420">
      <c r="A420" s="1" t="s">
        <v>11</v>
      </c>
      <c r="B420" s="1" t="s">
        <v>431</v>
      </c>
      <c r="C420" s="1" t="s">
        <v>13</v>
      </c>
      <c r="D420" s="2">
        <v>45996.86516203704</v>
      </c>
      <c r="E420" s="3">
        <v>45996.0</v>
      </c>
      <c r="F420" s="3" t="str">
        <f t="shared" si="1"/>
        <v>December-2025</v>
      </c>
      <c r="G420" s="1">
        <v>20.0</v>
      </c>
      <c r="H420" s="1">
        <v>45000.0</v>
      </c>
      <c r="I420" s="1">
        <v>9413.0</v>
      </c>
      <c r="J420" s="1">
        <v>10350.0</v>
      </c>
      <c r="K420" s="1">
        <v>25237.0</v>
      </c>
    </row>
    <row r="421">
      <c r="A421" s="1" t="s">
        <v>11</v>
      </c>
      <c r="B421" s="1" t="s">
        <v>432</v>
      </c>
      <c r="C421" s="1" t="s">
        <v>13</v>
      </c>
      <c r="D421" s="2">
        <v>45996.883576388886</v>
      </c>
      <c r="E421" s="3">
        <v>45996.0</v>
      </c>
      <c r="F421" s="3" t="str">
        <f t="shared" si="1"/>
        <v>December-2025</v>
      </c>
      <c r="G421" s="1">
        <v>21.0</v>
      </c>
      <c r="H421" s="1">
        <v>22900.0</v>
      </c>
      <c r="I421" s="1">
        <v>4500.0</v>
      </c>
      <c r="J421" s="1">
        <v>4900.0</v>
      </c>
      <c r="K421" s="1">
        <v>13500.0</v>
      </c>
    </row>
    <row r="422">
      <c r="A422" s="1" t="s">
        <v>11</v>
      </c>
      <c r="B422" s="1" t="s">
        <v>433</v>
      </c>
      <c r="C422" s="1" t="s">
        <v>13</v>
      </c>
      <c r="D422" s="2">
        <v>45996.89849537037</v>
      </c>
      <c r="E422" s="3">
        <v>45996.0</v>
      </c>
      <c r="F422" s="3" t="str">
        <f t="shared" si="1"/>
        <v>December-2025</v>
      </c>
      <c r="G422" s="1">
        <v>21.0</v>
      </c>
      <c r="H422" s="1">
        <v>23400.0</v>
      </c>
      <c r="I422" s="1">
        <v>4704.0</v>
      </c>
      <c r="J422" s="1">
        <v>4587.0</v>
      </c>
      <c r="K422" s="1">
        <v>14109.0</v>
      </c>
    </row>
    <row r="423">
      <c r="A423" s="1" t="s">
        <v>11</v>
      </c>
      <c r="B423" s="1" t="s">
        <v>434</v>
      </c>
      <c r="C423" s="1" t="s">
        <v>13</v>
      </c>
      <c r="D423" s="2">
        <v>45996.90521990741</v>
      </c>
      <c r="E423" s="3">
        <v>45996.0</v>
      </c>
      <c r="F423" s="3" t="str">
        <f t="shared" si="1"/>
        <v>December-2025</v>
      </c>
      <c r="G423" s="1">
        <v>21.0</v>
      </c>
      <c r="H423" s="1">
        <v>45800.0</v>
      </c>
      <c r="I423" s="1">
        <v>9613.0</v>
      </c>
      <c r="J423" s="1">
        <v>10350.0</v>
      </c>
      <c r="K423" s="1">
        <v>25837.0</v>
      </c>
    </row>
    <row r="424">
      <c r="A424" s="1" t="s">
        <v>11</v>
      </c>
      <c r="B424" s="1" t="s">
        <v>435</v>
      </c>
      <c r="C424" s="1" t="s">
        <v>13</v>
      </c>
      <c r="D424" s="2">
        <v>45996.90954861111</v>
      </c>
      <c r="E424" s="3">
        <v>45996.0</v>
      </c>
      <c r="F424" s="3" t="str">
        <f t="shared" si="1"/>
        <v>December-2025</v>
      </c>
      <c r="G424" s="1">
        <v>21.0</v>
      </c>
      <c r="H424" s="1">
        <v>22900.0</v>
      </c>
      <c r="I424" s="1">
        <v>4500.0</v>
      </c>
      <c r="J424" s="1">
        <v>4900.0</v>
      </c>
      <c r="K424" s="1">
        <v>13500.0</v>
      </c>
    </row>
    <row r="425">
      <c r="A425" s="1" t="s">
        <v>11</v>
      </c>
      <c r="B425" s="1" t="s">
        <v>436</v>
      </c>
      <c r="C425" s="1" t="s">
        <v>13</v>
      </c>
      <c r="D425" s="2">
        <v>45996.92980324074</v>
      </c>
      <c r="E425" s="3">
        <v>45996.0</v>
      </c>
      <c r="F425" s="3" t="str">
        <f t="shared" si="1"/>
        <v>December-2025</v>
      </c>
      <c r="G425" s="1">
        <v>22.0</v>
      </c>
      <c r="H425" s="1">
        <v>69500.0</v>
      </c>
      <c r="I425" s="1">
        <v>13787.0</v>
      </c>
      <c r="J425" s="1">
        <v>18352.0</v>
      </c>
      <c r="K425" s="1">
        <v>37361.0</v>
      </c>
    </row>
    <row r="426">
      <c r="A426" s="1" t="s">
        <v>11</v>
      </c>
      <c r="B426" s="1" t="s">
        <v>437</v>
      </c>
      <c r="C426" s="1" t="s">
        <v>13</v>
      </c>
      <c r="D426" s="2">
        <v>45996.9377662037</v>
      </c>
      <c r="E426" s="3">
        <v>45996.0</v>
      </c>
      <c r="F426" s="3" t="str">
        <f t="shared" si="1"/>
        <v>December-2025</v>
      </c>
      <c r="G426" s="1">
        <v>22.0</v>
      </c>
      <c r="H426" s="1">
        <v>32600.0</v>
      </c>
      <c r="I426" s="1">
        <v>6553.0</v>
      </c>
      <c r="J426" s="1">
        <v>8390.0</v>
      </c>
      <c r="K426" s="1">
        <v>17657.0</v>
      </c>
    </row>
    <row r="427">
      <c r="A427" s="1" t="s">
        <v>11</v>
      </c>
      <c r="B427" s="1" t="s">
        <v>438</v>
      </c>
      <c r="C427" s="1" t="s">
        <v>13</v>
      </c>
      <c r="D427" s="2">
        <v>45997.595</v>
      </c>
      <c r="E427" s="3">
        <v>45997.0</v>
      </c>
      <c r="F427" s="3" t="str">
        <f t="shared" si="1"/>
        <v>December-2025</v>
      </c>
      <c r="G427" s="1">
        <v>14.0</v>
      </c>
      <c r="H427" s="1">
        <v>31400.0</v>
      </c>
      <c r="I427" s="1">
        <v>6312.0</v>
      </c>
      <c r="J427" s="1">
        <v>8155.0</v>
      </c>
      <c r="K427" s="1">
        <v>16933.0</v>
      </c>
    </row>
    <row r="428">
      <c r="A428" s="1" t="s">
        <v>11</v>
      </c>
      <c r="B428" s="1" t="s">
        <v>439</v>
      </c>
      <c r="C428" s="1" t="s">
        <v>13</v>
      </c>
      <c r="D428" s="2">
        <v>45997.59670138889</v>
      </c>
      <c r="E428" s="3">
        <v>45997.0</v>
      </c>
      <c r="F428" s="3" t="str">
        <f t="shared" si="1"/>
        <v>December-2025</v>
      </c>
      <c r="G428" s="1">
        <v>14.0</v>
      </c>
      <c r="H428" s="1">
        <v>38300.0</v>
      </c>
      <c r="I428" s="1">
        <v>7738.0</v>
      </c>
      <c r="J428" s="1">
        <v>9350.0</v>
      </c>
      <c r="K428" s="1">
        <v>21212.0</v>
      </c>
    </row>
    <row r="429">
      <c r="A429" s="1" t="s">
        <v>11</v>
      </c>
      <c r="B429" s="1" t="s">
        <v>440</v>
      </c>
      <c r="C429" s="1" t="s">
        <v>13</v>
      </c>
      <c r="D429" s="2">
        <v>45997.64701388889</v>
      </c>
      <c r="E429" s="3">
        <v>45997.0</v>
      </c>
      <c r="F429" s="3" t="str">
        <f t="shared" si="1"/>
        <v>December-2025</v>
      </c>
      <c r="G429" s="1">
        <v>15.0</v>
      </c>
      <c r="H429" s="1">
        <v>28600.0</v>
      </c>
      <c r="I429" s="1">
        <v>5399.0</v>
      </c>
      <c r="J429" s="1">
        <v>7007.0</v>
      </c>
      <c r="K429" s="1">
        <v>16194.0</v>
      </c>
    </row>
    <row r="430">
      <c r="A430" s="1" t="s">
        <v>11</v>
      </c>
      <c r="B430" s="1" t="s">
        <v>441</v>
      </c>
      <c r="C430" s="1" t="s">
        <v>13</v>
      </c>
      <c r="D430" s="2">
        <v>45997.66295138889</v>
      </c>
      <c r="E430" s="3">
        <v>45997.0</v>
      </c>
      <c r="F430" s="3" t="str">
        <f t="shared" si="1"/>
        <v>December-2025</v>
      </c>
      <c r="G430" s="1">
        <v>15.0</v>
      </c>
      <c r="H430" s="1">
        <v>27500.0</v>
      </c>
      <c r="I430" s="1">
        <v>5650.0</v>
      </c>
      <c r="J430" s="1">
        <v>4900.0</v>
      </c>
      <c r="K430" s="1">
        <v>16950.0</v>
      </c>
    </row>
    <row r="431">
      <c r="A431" s="1" t="s">
        <v>11</v>
      </c>
      <c r="B431" s="1" t="s">
        <v>442</v>
      </c>
      <c r="C431" s="1" t="s">
        <v>13</v>
      </c>
      <c r="D431" s="2">
        <v>45997.77133101852</v>
      </c>
      <c r="E431" s="3">
        <v>45997.0</v>
      </c>
      <c r="F431" s="3" t="str">
        <f t="shared" si="1"/>
        <v>December-2025</v>
      </c>
      <c r="G431" s="1">
        <v>18.0</v>
      </c>
      <c r="H431" s="1">
        <v>37400.0</v>
      </c>
      <c r="I431" s="1">
        <v>7518.0</v>
      </c>
      <c r="J431" s="1">
        <v>9331.0</v>
      </c>
      <c r="K431" s="1">
        <v>20551.0</v>
      </c>
    </row>
    <row r="432">
      <c r="A432" s="1" t="s">
        <v>11</v>
      </c>
      <c r="B432" s="1" t="s">
        <v>443</v>
      </c>
      <c r="C432" s="1" t="s">
        <v>13</v>
      </c>
      <c r="D432" s="2">
        <v>45997.86150462963</v>
      </c>
      <c r="E432" s="3">
        <v>45997.0</v>
      </c>
      <c r="F432" s="3" t="str">
        <f t="shared" si="1"/>
        <v>December-2025</v>
      </c>
      <c r="G432" s="1">
        <v>20.0</v>
      </c>
      <c r="H432" s="1">
        <v>38400.0</v>
      </c>
      <c r="I432" s="1">
        <v>7763.0</v>
      </c>
      <c r="J432" s="1">
        <v>9350.0</v>
      </c>
      <c r="K432" s="1">
        <v>21287.0</v>
      </c>
    </row>
    <row r="433">
      <c r="A433" s="1" t="s">
        <v>11</v>
      </c>
      <c r="B433" s="1" t="s">
        <v>444</v>
      </c>
      <c r="C433" s="1" t="s">
        <v>13</v>
      </c>
      <c r="D433" s="2">
        <v>45998.5203125</v>
      </c>
      <c r="E433" s="3">
        <v>45998.0</v>
      </c>
      <c r="F433" s="3" t="str">
        <f t="shared" si="1"/>
        <v>December-2025</v>
      </c>
      <c r="G433" s="1">
        <v>12.0</v>
      </c>
      <c r="H433" s="1">
        <v>33800.0</v>
      </c>
      <c r="I433" s="1">
        <v>6613.0</v>
      </c>
      <c r="J433" s="1">
        <v>9350.0</v>
      </c>
      <c r="K433" s="1">
        <v>17837.0</v>
      </c>
    </row>
    <row r="434">
      <c r="A434" s="1" t="s">
        <v>11</v>
      </c>
      <c r="B434" s="1" t="s">
        <v>445</v>
      </c>
      <c r="C434" s="1" t="s">
        <v>13</v>
      </c>
      <c r="D434" s="2">
        <v>45998.71260416666</v>
      </c>
      <c r="E434" s="3">
        <v>45998.0</v>
      </c>
      <c r="F434" s="3" t="str">
        <f t="shared" si="1"/>
        <v>December-2025</v>
      </c>
      <c r="G434" s="1">
        <v>17.0</v>
      </c>
      <c r="H434" s="1">
        <v>17900.0</v>
      </c>
      <c r="I434" s="1">
        <v>3379.0</v>
      </c>
      <c r="J434" s="1">
        <v>4386.0</v>
      </c>
      <c r="K434" s="1">
        <v>10135.0</v>
      </c>
    </row>
    <row r="435">
      <c r="A435" s="1" t="s">
        <v>11</v>
      </c>
      <c r="B435" s="1" t="s">
        <v>446</v>
      </c>
      <c r="C435" s="1" t="s">
        <v>13</v>
      </c>
      <c r="D435" s="2">
        <v>45998.71954861111</v>
      </c>
      <c r="E435" s="3">
        <v>45998.0</v>
      </c>
      <c r="F435" s="3" t="str">
        <f t="shared" si="1"/>
        <v>December-2025</v>
      </c>
      <c r="G435" s="1">
        <v>17.0</v>
      </c>
      <c r="H435" s="1">
        <v>17900.0</v>
      </c>
      <c r="I435" s="1">
        <v>4475.0</v>
      </c>
      <c r="J435" s="1">
        <v>0.0</v>
      </c>
      <c r="K435" s="1">
        <v>13425.0</v>
      </c>
    </row>
    <row r="436">
      <c r="A436" s="1" t="s">
        <v>11</v>
      </c>
      <c r="B436" s="1" t="s">
        <v>447</v>
      </c>
      <c r="C436" s="1" t="s">
        <v>13</v>
      </c>
      <c r="D436" s="2">
        <v>45998.71971064815</v>
      </c>
      <c r="E436" s="3">
        <v>45998.0</v>
      </c>
      <c r="F436" s="3" t="str">
        <f t="shared" si="1"/>
        <v>December-2025</v>
      </c>
      <c r="G436" s="1">
        <v>17.0</v>
      </c>
      <c r="H436" s="1">
        <v>21600.0</v>
      </c>
      <c r="I436" s="1">
        <v>4175.0</v>
      </c>
      <c r="J436" s="1">
        <v>4900.0</v>
      </c>
      <c r="K436" s="1">
        <v>12525.0</v>
      </c>
    </row>
    <row r="437">
      <c r="A437" s="1" t="s">
        <v>11</v>
      </c>
      <c r="B437" s="1" t="s">
        <v>448</v>
      </c>
      <c r="C437" s="1" t="s">
        <v>13</v>
      </c>
      <c r="D437" s="2">
        <v>45998.736909722225</v>
      </c>
      <c r="E437" s="3">
        <v>45998.0</v>
      </c>
      <c r="F437" s="3" t="str">
        <f t="shared" si="1"/>
        <v>December-2025</v>
      </c>
      <c r="G437" s="1">
        <v>17.0</v>
      </c>
      <c r="H437" s="1">
        <v>25300.0</v>
      </c>
      <c r="I437" s="1">
        <v>5100.0</v>
      </c>
      <c r="J437" s="1">
        <v>4900.0</v>
      </c>
      <c r="K437" s="1">
        <v>15300.0</v>
      </c>
    </row>
    <row r="438">
      <c r="A438" s="1" t="s">
        <v>11</v>
      </c>
      <c r="B438" s="1" t="s">
        <v>449</v>
      </c>
      <c r="C438" s="1" t="s">
        <v>13</v>
      </c>
      <c r="D438" s="2">
        <v>45998.775034722225</v>
      </c>
      <c r="E438" s="3">
        <v>45998.0</v>
      </c>
      <c r="F438" s="3" t="str">
        <f t="shared" si="1"/>
        <v>December-2025</v>
      </c>
      <c r="G438" s="1">
        <v>18.0</v>
      </c>
      <c r="H438" s="1">
        <v>16500.0</v>
      </c>
      <c r="I438" s="1">
        <v>3317.0</v>
      </c>
      <c r="J438" s="1">
        <v>3234.0</v>
      </c>
      <c r="K438" s="1">
        <v>9949.0</v>
      </c>
    </row>
    <row r="439">
      <c r="A439" s="1" t="s">
        <v>11</v>
      </c>
      <c r="B439" s="1" t="s">
        <v>450</v>
      </c>
      <c r="C439" s="1" t="s">
        <v>13</v>
      </c>
      <c r="D439" s="2">
        <v>45998.81707175926</v>
      </c>
      <c r="E439" s="3">
        <v>45998.0</v>
      </c>
      <c r="F439" s="3" t="str">
        <f t="shared" si="1"/>
        <v>December-2025</v>
      </c>
      <c r="G439" s="1">
        <v>19.0</v>
      </c>
      <c r="H439" s="1">
        <v>71100.0</v>
      </c>
      <c r="I439" s="1">
        <v>14105.0</v>
      </c>
      <c r="J439" s="1">
        <v>18683.0</v>
      </c>
      <c r="K439" s="1">
        <v>38312.0</v>
      </c>
    </row>
    <row r="440">
      <c r="A440" s="1" t="s">
        <v>11</v>
      </c>
      <c r="B440" s="1" t="s">
        <v>451</v>
      </c>
      <c r="C440" s="1" t="s">
        <v>13</v>
      </c>
      <c r="D440" s="2">
        <v>45998.86130787037</v>
      </c>
      <c r="E440" s="3">
        <v>45998.0</v>
      </c>
      <c r="F440" s="3" t="str">
        <f t="shared" si="1"/>
        <v>December-2025</v>
      </c>
      <c r="G440" s="1">
        <v>20.0</v>
      </c>
      <c r="H440" s="1">
        <v>26800.0</v>
      </c>
      <c r="I440" s="1">
        <v>5475.0</v>
      </c>
      <c r="J440" s="1">
        <v>4900.0</v>
      </c>
      <c r="K440" s="1">
        <v>16425.0</v>
      </c>
    </row>
    <row r="441">
      <c r="A441" s="1" t="s">
        <v>11</v>
      </c>
      <c r="B441" s="1" t="s">
        <v>452</v>
      </c>
      <c r="C441" s="1" t="s">
        <v>13</v>
      </c>
      <c r="D441" s="2">
        <v>45998.95165509259</v>
      </c>
      <c r="E441" s="3">
        <v>45998.0</v>
      </c>
      <c r="F441" s="3" t="str">
        <f t="shared" si="1"/>
        <v>December-2025</v>
      </c>
      <c r="G441" s="1">
        <v>22.0</v>
      </c>
      <c r="H441" s="1">
        <v>22900.0</v>
      </c>
      <c r="I441" s="1">
        <v>4500.0</v>
      </c>
      <c r="J441" s="1">
        <v>4900.0</v>
      </c>
      <c r="K441" s="1">
        <v>13500.0</v>
      </c>
    </row>
    <row r="442">
      <c r="A442" s="1" t="s">
        <v>11</v>
      </c>
      <c r="B442" s="1" t="s">
        <v>453</v>
      </c>
      <c r="C442" s="1" t="s">
        <v>13</v>
      </c>
      <c r="D442" s="2">
        <v>45999.509039351855</v>
      </c>
      <c r="E442" s="3">
        <v>45999.0</v>
      </c>
      <c r="F442" s="3" t="str">
        <f t="shared" si="1"/>
        <v>December-2025</v>
      </c>
      <c r="G442" s="1">
        <v>12.0</v>
      </c>
      <c r="H442" s="1">
        <v>37700.0</v>
      </c>
      <c r="I442" s="1">
        <v>7588.0</v>
      </c>
      <c r="J442" s="1">
        <v>9350.0</v>
      </c>
      <c r="K442" s="1">
        <v>20762.0</v>
      </c>
    </row>
    <row r="443">
      <c r="A443" s="1" t="s">
        <v>11</v>
      </c>
      <c r="B443" s="1" t="s">
        <v>454</v>
      </c>
      <c r="C443" s="1" t="s">
        <v>13</v>
      </c>
      <c r="D443" s="2">
        <v>45999.54194444444</v>
      </c>
      <c r="E443" s="3">
        <v>45999.0</v>
      </c>
      <c r="F443" s="3" t="str">
        <f t="shared" si="1"/>
        <v>December-2025</v>
      </c>
      <c r="G443" s="1">
        <v>13.0</v>
      </c>
      <c r="H443" s="1">
        <v>22500.0</v>
      </c>
      <c r="I443" s="1">
        <v>4400.0</v>
      </c>
      <c r="J443" s="1">
        <v>4900.0</v>
      </c>
      <c r="K443" s="1">
        <v>13200.0</v>
      </c>
    </row>
    <row r="444">
      <c r="A444" s="1" t="s">
        <v>11</v>
      </c>
      <c r="B444" s="1" t="s">
        <v>455</v>
      </c>
      <c r="C444" s="1" t="s">
        <v>13</v>
      </c>
      <c r="D444" s="2">
        <v>45999.55768518519</v>
      </c>
      <c r="E444" s="3">
        <v>45999.0</v>
      </c>
      <c r="F444" s="3" t="str">
        <f t="shared" si="1"/>
        <v>December-2025</v>
      </c>
      <c r="G444" s="1">
        <v>13.0</v>
      </c>
      <c r="H444" s="1">
        <v>27500.0</v>
      </c>
      <c r="I444" s="1">
        <v>5650.0</v>
      </c>
      <c r="J444" s="1">
        <v>4900.0</v>
      </c>
      <c r="K444" s="1">
        <v>16950.0</v>
      </c>
    </row>
    <row r="445">
      <c r="A445" s="1" t="s">
        <v>11</v>
      </c>
      <c r="B445" s="1" t="s">
        <v>456</v>
      </c>
      <c r="C445" s="1" t="s">
        <v>13</v>
      </c>
      <c r="D445" s="2">
        <v>45999.601481481484</v>
      </c>
      <c r="E445" s="3">
        <v>45999.0</v>
      </c>
      <c r="F445" s="3" t="str">
        <f t="shared" si="1"/>
        <v>December-2025</v>
      </c>
      <c r="G445" s="1">
        <v>14.0</v>
      </c>
      <c r="H445" s="1">
        <v>32300.0</v>
      </c>
      <c r="I445" s="1">
        <v>6238.0</v>
      </c>
      <c r="J445" s="1">
        <v>9350.0</v>
      </c>
      <c r="K445" s="1">
        <v>16712.0</v>
      </c>
    </row>
    <row r="446">
      <c r="A446" s="1" t="s">
        <v>11</v>
      </c>
      <c r="B446" s="1" t="s">
        <v>457</v>
      </c>
      <c r="C446" s="1" t="s">
        <v>13</v>
      </c>
      <c r="D446" s="2">
        <v>45999.65833333333</v>
      </c>
      <c r="E446" s="3">
        <v>45999.0</v>
      </c>
      <c r="F446" s="3" t="str">
        <f t="shared" si="1"/>
        <v>December-2025</v>
      </c>
      <c r="G446" s="1">
        <v>15.0</v>
      </c>
      <c r="H446" s="1">
        <v>43600.0</v>
      </c>
      <c r="I446" s="1">
        <v>9063.0</v>
      </c>
      <c r="J446" s="1">
        <v>10350.0</v>
      </c>
      <c r="K446" s="1">
        <v>24187.0</v>
      </c>
    </row>
    <row r="447">
      <c r="A447" s="1" t="s">
        <v>11</v>
      </c>
      <c r="B447" s="1" t="s">
        <v>458</v>
      </c>
      <c r="C447" s="1" t="s">
        <v>13</v>
      </c>
      <c r="D447" s="2">
        <v>45999.74725694444</v>
      </c>
      <c r="E447" s="3">
        <v>45999.0</v>
      </c>
      <c r="F447" s="3" t="str">
        <f t="shared" si="1"/>
        <v>December-2025</v>
      </c>
      <c r="G447" s="1">
        <v>17.0</v>
      </c>
      <c r="H447" s="1">
        <v>16500.0</v>
      </c>
      <c r="I447" s="1">
        <v>3115.0</v>
      </c>
      <c r="J447" s="1">
        <v>4043.0</v>
      </c>
      <c r="K447" s="1">
        <v>9342.0</v>
      </c>
    </row>
    <row r="448">
      <c r="A448" s="1" t="s">
        <v>11</v>
      </c>
      <c r="B448" s="1" t="s">
        <v>459</v>
      </c>
      <c r="C448" s="1" t="s">
        <v>13</v>
      </c>
      <c r="D448" s="2">
        <v>45999.75585648148</v>
      </c>
      <c r="E448" s="3">
        <v>45999.0</v>
      </c>
      <c r="F448" s="3" t="str">
        <f t="shared" si="1"/>
        <v>December-2025</v>
      </c>
      <c r="G448" s="1">
        <v>18.0</v>
      </c>
      <c r="H448" s="1">
        <v>32700.0</v>
      </c>
      <c r="I448" s="1">
        <v>6338.0</v>
      </c>
      <c r="J448" s="1">
        <v>9350.0</v>
      </c>
      <c r="K448" s="1">
        <v>17012.0</v>
      </c>
    </row>
    <row r="449">
      <c r="A449" s="1" t="s">
        <v>11</v>
      </c>
      <c r="B449" s="1" t="s">
        <v>460</v>
      </c>
      <c r="C449" s="1" t="s">
        <v>13</v>
      </c>
      <c r="D449" s="2">
        <v>45999.758055555554</v>
      </c>
      <c r="E449" s="3">
        <v>45999.0</v>
      </c>
      <c r="F449" s="3" t="str">
        <f t="shared" si="1"/>
        <v>December-2025</v>
      </c>
      <c r="G449" s="1">
        <v>18.0</v>
      </c>
      <c r="H449" s="1">
        <v>22900.0</v>
      </c>
      <c r="I449" s="1">
        <v>4500.0</v>
      </c>
      <c r="J449" s="1">
        <v>4900.0</v>
      </c>
      <c r="K449" s="1">
        <v>13500.0</v>
      </c>
    </row>
    <row r="450">
      <c r="A450" s="1" t="s">
        <v>11</v>
      </c>
      <c r="B450" s="1" t="s">
        <v>461</v>
      </c>
      <c r="C450" s="1" t="s">
        <v>13</v>
      </c>
      <c r="D450" s="2">
        <v>45999.86483796296</v>
      </c>
      <c r="E450" s="3">
        <v>45999.0</v>
      </c>
      <c r="F450" s="3" t="str">
        <f t="shared" si="1"/>
        <v>December-2025</v>
      </c>
      <c r="G450" s="1">
        <v>20.0</v>
      </c>
      <c r="H450" s="1">
        <v>35300.0</v>
      </c>
      <c r="I450" s="1">
        <v>6988.0</v>
      </c>
      <c r="J450" s="1">
        <v>9350.0</v>
      </c>
      <c r="K450" s="1">
        <v>18962.0</v>
      </c>
    </row>
    <row r="451">
      <c r="A451" s="1" t="s">
        <v>11</v>
      </c>
      <c r="B451" s="1" t="s">
        <v>462</v>
      </c>
      <c r="C451" s="1" t="s">
        <v>13</v>
      </c>
      <c r="D451" s="2">
        <v>45999.89934027778</v>
      </c>
      <c r="E451" s="3">
        <v>45999.0</v>
      </c>
      <c r="F451" s="3" t="str">
        <f t="shared" si="1"/>
        <v>December-2025</v>
      </c>
      <c r="G451" s="1">
        <v>21.0</v>
      </c>
      <c r="H451" s="1">
        <v>56800.0</v>
      </c>
      <c r="I451" s="1">
        <v>11268.0</v>
      </c>
      <c r="J451" s="1">
        <v>15730.0</v>
      </c>
      <c r="K451" s="1">
        <v>29802.0</v>
      </c>
    </row>
    <row r="452">
      <c r="A452" s="1" t="s">
        <v>11</v>
      </c>
      <c r="B452" s="1" t="s">
        <v>463</v>
      </c>
      <c r="C452" s="1" t="s">
        <v>13</v>
      </c>
      <c r="D452" s="2">
        <v>45999.903958333336</v>
      </c>
      <c r="E452" s="3">
        <v>45999.0</v>
      </c>
      <c r="F452" s="3" t="str">
        <f t="shared" si="1"/>
        <v>December-2025</v>
      </c>
      <c r="G452" s="1">
        <v>21.0</v>
      </c>
      <c r="H452" s="1">
        <v>20700.0</v>
      </c>
      <c r="I452" s="1">
        <v>5175.0</v>
      </c>
      <c r="J452" s="1">
        <v>0.0</v>
      </c>
      <c r="K452" s="1">
        <v>15525.0</v>
      </c>
    </row>
    <row r="453">
      <c r="A453" s="1" t="s">
        <v>11</v>
      </c>
      <c r="B453" s="1" t="s">
        <v>464</v>
      </c>
      <c r="C453" s="1" t="s">
        <v>13</v>
      </c>
      <c r="D453" s="2">
        <v>45999.906481481485</v>
      </c>
      <c r="E453" s="3">
        <v>45999.0</v>
      </c>
      <c r="F453" s="3" t="str">
        <f t="shared" si="1"/>
        <v>December-2025</v>
      </c>
      <c r="G453" s="1">
        <v>21.0</v>
      </c>
      <c r="H453" s="1">
        <v>37300.0</v>
      </c>
      <c r="I453" s="1">
        <v>7498.0</v>
      </c>
      <c r="J453" s="1">
        <v>9311.0</v>
      </c>
      <c r="K453" s="1">
        <v>20491.0</v>
      </c>
    </row>
    <row r="454">
      <c r="A454" s="1" t="s">
        <v>11</v>
      </c>
      <c r="B454" s="1" t="s">
        <v>465</v>
      </c>
      <c r="C454" s="1" t="s">
        <v>13</v>
      </c>
      <c r="D454" s="2">
        <v>45999.93201388889</v>
      </c>
      <c r="E454" s="3">
        <v>45999.0</v>
      </c>
      <c r="F454" s="3" t="str">
        <f t="shared" si="1"/>
        <v>December-2025</v>
      </c>
      <c r="G454" s="1">
        <v>22.0</v>
      </c>
      <c r="H454" s="1">
        <v>22900.0</v>
      </c>
      <c r="I454" s="1">
        <v>4500.0</v>
      </c>
      <c r="J454" s="1">
        <v>4900.0</v>
      </c>
      <c r="K454" s="1">
        <v>13500.0</v>
      </c>
    </row>
    <row r="455">
      <c r="A455" s="1" t="s">
        <v>11</v>
      </c>
      <c r="B455" s="1" t="s">
        <v>466</v>
      </c>
      <c r="C455" s="1" t="s">
        <v>13</v>
      </c>
      <c r="D455" s="2">
        <v>45999.94579861111</v>
      </c>
      <c r="E455" s="3">
        <v>45999.0</v>
      </c>
      <c r="F455" s="3" t="str">
        <f t="shared" si="1"/>
        <v>December-2025</v>
      </c>
      <c r="G455" s="1">
        <v>22.0</v>
      </c>
      <c r="H455" s="1">
        <v>32300.0</v>
      </c>
      <c r="I455" s="1">
        <v>6493.0</v>
      </c>
      <c r="J455" s="1">
        <v>8331.0</v>
      </c>
      <c r="K455" s="1">
        <v>17476.0</v>
      </c>
    </row>
    <row r="456">
      <c r="A456" s="1" t="s">
        <v>11</v>
      </c>
      <c r="B456" s="1" t="s">
        <v>467</v>
      </c>
      <c r="C456" s="1" t="s">
        <v>13</v>
      </c>
      <c r="D456" s="2">
        <v>46000.503125</v>
      </c>
      <c r="E456" s="3">
        <v>46000.0</v>
      </c>
      <c r="F456" s="3" t="str">
        <f t="shared" si="1"/>
        <v>December-2025</v>
      </c>
      <c r="G456" s="1">
        <v>12.0</v>
      </c>
      <c r="H456" s="1">
        <v>50000.0</v>
      </c>
      <c r="I456" s="1">
        <v>9919.0</v>
      </c>
      <c r="J456" s="1">
        <v>14325.0</v>
      </c>
      <c r="K456" s="1">
        <v>25756.0</v>
      </c>
    </row>
    <row r="457">
      <c r="A457" s="1" t="s">
        <v>11</v>
      </c>
      <c r="B457" s="1" t="s">
        <v>468</v>
      </c>
      <c r="C457" s="1" t="s">
        <v>13</v>
      </c>
      <c r="D457" s="2">
        <v>46000.518472222226</v>
      </c>
      <c r="E457" s="3">
        <v>46000.0</v>
      </c>
      <c r="F457" s="3" t="str">
        <f t="shared" si="1"/>
        <v>December-2025</v>
      </c>
      <c r="G457" s="1">
        <v>12.0</v>
      </c>
      <c r="H457" s="1">
        <v>22900.0</v>
      </c>
      <c r="I457" s="1">
        <v>4603.0</v>
      </c>
      <c r="J457" s="1">
        <v>4489.0</v>
      </c>
      <c r="K457" s="1">
        <v>13808.0</v>
      </c>
    </row>
    <row r="458">
      <c r="A458" s="1" t="s">
        <v>11</v>
      </c>
      <c r="B458" s="1" t="s">
        <v>469</v>
      </c>
      <c r="C458" s="1" t="s">
        <v>13</v>
      </c>
      <c r="D458" s="2">
        <v>46000.58048611111</v>
      </c>
      <c r="E458" s="3">
        <v>46000.0</v>
      </c>
      <c r="F458" s="3" t="str">
        <f t="shared" si="1"/>
        <v>December-2025</v>
      </c>
      <c r="G458" s="1">
        <v>13.0</v>
      </c>
      <c r="H458" s="1">
        <v>31400.0</v>
      </c>
      <c r="I458" s="1">
        <v>6312.0</v>
      </c>
      <c r="J458" s="1">
        <v>8155.0</v>
      </c>
      <c r="K458" s="1">
        <v>16933.0</v>
      </c>
    </row>
    <row r="459">
      <c r="A459" s="1" t="s">
        <v>11</v>
      </c>
      <c r="B459" s="1" t="s">
        <v>470</v>
      </c>
      <c r="C459" s="1" t="s">
        <v>13</v>
      </c>
      <c r="D459" s="2">
        <v>46000.6025</v>
      </c>
      <c r="E459" s="3">
        <v>46000.0</v>
      </c>
      <c r="F459" s="3" t="str">
        <f t="shared" si="1"/>
        <v>December-2025</v>
      </c>
      <c r="G459" s="1">
        <v>14.0</v>
      </c>
      <c r="H459" s="1">
        <v>23400.0</v>
      </c>
      <c r="I459" s="1">
        <v>4625.0</v>
      </c>
      <c r="J459" s="1">
        <v>4900.0</v>
      </c>
      <c r="K459" s="1">
        <v>13875.0</v>
      </c>
    </row>
    <row r="460">
      <c r="A460" s="1" t="s">
        <v>11</v>
      </c>
      <c r="B460" s="1" t="s">
        <v>471</v>
      </c>
      <c r="C460" s="1" t="s">
        <v>13</v>
      </c>
      <c r="D460" s="2">
        <v>46000.722592592596</v>
      </c>
      <c r="E460" s="3">
        <v>46000.0</v>
      </c>
      <c r="F460" s="3" t="str">
        <f t="shared" si="1"/>
        <v>December-2025</v>
      </c>
      <c r="G460" s="1">
        <v>17.0</v>
      </c>
      <c r="H460" s="1">
        <v>26000.0</v>
      </c>
      <c r="I460" s="1">
        <v>5275.0</v>
      </c>
      <c r="J460" s="1">
        <v>4900.0</v>
      </c>
      <c r="K460" s="1">
        <v>15825.0</v>
      </c>
    </row>
    <row r="461">
      <c r="A461" s="1" t="s">
        <v>11</v>
      </c>
      <c r="B461" s="1" t="s">
        <v>472</v>
      </c>
      <c r="C461" s="1" t="s">
        <v>13</v>
      </c>
      <c r="D461" s="2">
        <v>46000.761921296296</v>
      </c>
      <c r="E461" s="3">
        <v>46000.0</v>
      </c>
      <c r="F461" s="3" t="str">
        <f t="shared" si="1"/>
        <v>December-2025</v>
      </c>
      <c r="G461" s="1">
        <v>18.0</v>
      </c>
      <c r="H461" s="1">
        <v>30700.0</v>
      </c>
      <c r="I461" s="1">
        <v>6171.0</v>
      </c>
      <c r="J461" s="1">
        <v>8018.0</v>
      </c>
      <c r="K461" s="1">
        <v>16511.0</v>
      </c>
    </row>
    <row r="462">
      <c r="A462" s="1" t="s">
        <v>11</v>
      </c>
      <c r="B462" s="1" t="s">
        <v>473</v>
      </c>
      <c r="C462" s="1" t="s">
        <v>13</v>
      </c>
      <c r="D462" s="2">
        <v>46000.77045138889</v>
      </c>
      <c r="E462" s="3">
        <v>46000.0</v>
      </c>
      <c r="F462" s="3" t="str">
        <f t="shared" si="1"/>
        <v>December-2025</v>
      </c>
      <c r="G462" s="1">
        <v>18.0</v>
      </c>
      <c r="H462" s="1">
        <v>73700.0</v>
      </c>
      <c r="I462" s="1">
        <v>14620.0</v>
      </c>
      <c r="J462" s="1">
        <v>19220.0</v>
      </c>
      <c r="K462" s="1">
        <v>39860.0</v>
      </c>
    </row>
    <row r="463">
      <c r="A463" s="1" t="s">
        <v>11</v>
      </c>
      <c r="B463" s="1" t="s">
        <v>474</v>
      </c>
      <c r="C463" s="1" t="s">
        <v>13</v>
      </c>
      <c r="D463" s="2">
        <v>46000.82450231481</v>
      </c>
      <c r="E463" s="3">
        <v>46000.0</v>
      </c>
      <c r="F463" s="3" t="str">
        <f t="shared" si="1"/>
        <v>December-2025</v>
      </c>
      <c r="G463" s="1">
        <v>19.0</v>
      </c>
      <c r="H463" s="1">
        <v>22900.0</v>
      </c>
      <c r="I463" s="1">
        <v>4323.0</v>
      </c>
      <c r="J463" s="1">
        <v>5611.0</v>
      </c>
      <c r="K463" s="1">
        <v>12966.0</v>
      </c>
    </row>
    <row r="464">
      <c r="A464" s="1" t="s">
        <v>11</v>
      </c>
      <c r="B464" s="1" t="s">
        <v>475</v>
      </c>
      <c r="C464" s="1" t="s">
        <v>13</v>
      </c>
      <c r="D464" s="2">
        <v>46000.88811342593</v>
      </c>
      <c r="E464" s="3">
        <v>46000.0</v>
      </c>
      <c r="F464" s="3" t="str">
        <f t="shared" si="1"/>
        <v>December-2025</v>
      </c>
      <c r="G464" s="1">
        <v>21.0</v>
      </c>
      <c r="H464" s="1">
        <v>50400.0</v>
      </c>
      <c r="I464" s="1">
        <v>12600.0</v>
      </c>
      <c r="J464" s="1">
        <v>4000.0</v>
      </c>
      <c r="K464" s="1">
        <v>33800.0</v>
      </c>
    </row>
    <row r="465">
      <c r="A465" s="1" t="s">
        <v>11</v>
      </c>
      <c r="B465" s="1" t="s">
        <v>476</v>
      </c>
      <c r="C465" s="1" t="s">
        <v>13</v>
      </c>
      <c r="D465" s="2">
        <v>46000.90425925926</v>
      </c>
      <c r="E465" s="3">
        <v>46000.0</v>
      </c>
      <c r="F465" s="3" t="str">
        <f t="shared" si="1"/>
        <v>December-2025</v>
      </c>
      <c r="G465" s="1">
        <v>21.0</v>
      </c>
      <c r="H465" s="1">
        <v>18500.0</v>
      </c>
      <c r="I465" s="1">
        <v>3492.0</v>
      </c>
      <c r="J465" s="1">
        <v>4533.0</v>
      </c>
      <c r="K465" s="1">
        <v>10475.0</v>
      </c>
    </row>
    <row r="466">
      <c r="A466" s="1" t="s">
        <v>11</v>
      </c>
      <c r="B466" s="1" t="s">
        <v>477</v>
      </c>
      <c r="C466" s="1" t="s">
        <v>13</v>
      </c>
      <c r="D466" s="2">
        <v>46000.904710648145</v>
      </c>
      <c r="E466" s="3">
        <v>46000.0</v>
      </c>
      <c r="F466" s="3" t="str">
        <f t="shared" si="1"/>
        <v>December-2025</v>
      </c>
      <c r="G466" s="1">
        <v>21.0</v>
      </c>
      <c r="H466" s="1">
        <v>36400.0</v>
      </c>
      <c r="I466" s="1">
        <v>7263.0</v>
      </c>
      <c r="J466" s="1">
        <v>9350.0</v>
      </c>
      <c r="K466" s="1">
        <v>19787.0</v>
      </c>
    </row>
    <row r="467">
      <c r="A467" s="1" t="s">
        <v>11</v>
      </c>
      <c r="B467" s="1" t="s">
        <v>478</v>
      </c>
      <c r="C467" s="1" t="s">
        <v>13</v>
      </c>
      <c r="D467" s="2">
        <v>46000.922164351854</v>
      </c>
      <c r="E467" s="3">
        <v>46000.0</v>
      </c>
      <c r="F467" s="3" t="str">
        <f t="shared" si="1"/>
        <v>December-2025</v>
      </c>
      <c r="G467" s="1">
        <v>22.0</v>
      </c>
      <c r="H467" s="1">
        <v>32700.0</v>
      </c>
      <c r="I467" s="1">
        <v>6338.0</v>
      </c>
      <c r="J467" s="1">
        <v>9350.0</v>
      </c>
      <c r="K467" s="1">
        <v>17012.0</v>
      </c>
    </row>
    <row r="468">
      <c r="A468" s="1" t="s">
        <v>11</v>
      </c>
      <c r="B468" s="1" t="s">
        <v>479</v>
      </c>
      <c r="C468" s="1" t="s">
        <v>13</v>
      </c>
      <c r="D468" s="2">
        <v>46000.92679398148</v>
      </c>
      <c r="E468" s="3">
        <v>46000.0</v>
      </c>
      <c r="F468" s="3" t="str">
        <f t="shared" si="1"/>
        <v>December-2025</v>
      </c>
      <c r="G468" s="1">
        <v>22.0</v>
      </c>
      <c r="H468" s="1">
        <v>27500.0</v>
      </c>
      <c r="I468" s="1">
        <v>5191.0</v>
      </c>
      <c r="J468" s="1">
        <v>6738.0</v>
      </c>
      <c r="K468" s="1">
        <v>15571.0</v>
      </c>
    </row>
    <row r="469">
      <c r="A469" s="1" t="s">
        <v>11</v>
      </c>
      <c r="B469" s="1" t="s">
        <v>480</v>
      </c>
      <c r="C469" s="1" t="s">
        <v>13</v>
      </c>
      <c r="D469" s="2">
        <v>46000.92805555555</v>
      </c>
      <c r="E469" s="3">
        <v>46000.0</v>
      </c>
      <c r="F469" s="3" t="str">
        <f t="shared" si="1"/>
        <v>December-2025</v>
      </c>
      <c r="G469" s="1">
        <v>22.0</v>
      </c>
      <c r="H469" s="1">
        <v>23400.0</v>
      </c>
      <c r="I469" s="1">
        <v>4417.0</v>
      </c>
      <c r="J469" s="1">
        <v>5733.0</v>
      </c>
      <c r="K469" s="1">
        <v>13250.0</v>
      </c>
    </row>
    <row r="470">
      <c r="A470" s="1" t="s">
        <v>11</v>
      </c>
      <c r="B470" s="1" t="s">
        <v>481</v>
      </c>
      <c r="C470" s="1" t="s">
        <v>13</v>
      </c>
      <c r="D470" s="2">
        <v>46000.93430555556</v>
      </c>
      <c r="E470" s="3">
        <v>46000.0</v>
      </c>
      <c r="F470" s="3" t="str">
        <f t="shared" si="1"/>
        <v>December-2025</v>
      </c>
      <c r="G470" s="1">
        <v>22.0</v>
      </c>
      <c r="H470" s="1">
        <v>34300.0</v>
      </c>
      <c r="I470" s="1">
        <v>6738.0</v>
      </c>
      <c r="J470" s="1">
        <v>9350.0</v>
      </c>
      <c r="K470" s="1">
        <v>18212.0</v>
      </c>
    </row>
    <row r="471">
      <c r="A471" s="1" t="s">
        <v>11</v>
      </c>
      <c r="B471" s="1" t="s">
        <v>482</v>
      </c>
      <c r="C471" s="1" t="s">
        <v>13</v>
      </c>
      <c r="D471" s="2">
        <v>46001.51545138889</v>
      </c>
      <c r="E471" s="3">
        <v>46001.0</v>
      </c>
      <c r="F471" s="3" t="str">
        <f t="shared" si="1"/>
        <v>December-2025</v>
      </c>
      <c r="G471" s="1">
        <v>12.0</v>
      </c>
      <c r="H471" s="1">
        <v>100700.0</v>
      </c>
      <c r="I471" s="1">
        <v>19234.0</v>
      </c>
      <c r="J471" s="1">
        <v>32766.0</v>
      </c>
      <c r="K471" s="1">
        <v>48700.0</v>
      </c>
    </row>
    <row r="472">
      <c r="A472" s="1" t="s">
        <v>11</v>
      </c>
      <c r="B472" s="1" t="s">
        <v>483</v>
      </c>
      <c r="C472" s="1" t="s">
        <v>13</v>
      </c>
      <c r="D472" s="2">
        <v>46001.52028935185</v>
      </c>
      <c r="E472" s="3">
        <v>46001.0</v>
      </c>
      <c r="F472" s="3" t="str">
        <f t="shared" si="1"/>
        <v>December-2025</v>
      </c>
      <c r="G472" s="1">
        <v>12.0</v>
      </c>
      <c r="H472" s="1">
        <v>22900.0</v>
      </c>
      <c r="I472" s="1">
        <v>4500.0</v>
      </c>
      <c r="J472" s="1">
        <v>4900.0</v>
      </c>
      <c r="K472" s="1">
        <v>13500.0</v>
      </c>
    </row>
    <row r="473">
      <c r="A473" s="1" t="s">
        <v>11</v>
      </c>
      <c r="B473" s="1" t="s">
        <v>484</v>
      </c>
      <c r="C473" s="1" t="s">
        <v>13</v>
      </c>
      <c r="D473" s="2">
        <v>46001.550416666665</v>
      </c>
      <c r="E473" s="3">
        <v>46001.0</v>
      </c>
      <c r="F473" s="3" t="str">
        <f t="shared" si="1"/>
        <v>December-2025</v>
      </c>
      <c r="G473" s="1">
        <v>13.0</v>
      </c>
      <c r="H473" s="1">
        <v>45800.0</v>
      </c>
      <c r="I473" s="1">
        <v>11450.0</v>
      </c>
      <c r="J473" s="1">
        <v>3000.0</v>
      </c>
      <c r="K473" s="1">
        <v>31350.0</v>
      </c>
    </row>
    <row r="474">
      <c r="A474" s="1" t="s">
        <v>11</v>
      </c>
      <c r="B474" s="1" t="s">
        <v>485</v>
      </c>
      <c r="C474" s="1" t="s">
        <v>13</v>
      </c>
      <c r="D474" s="2">
        <v>46001.88728009259</v>
      </c>
      <c r="E474" s="3">
        <v>46001.0</v>
      </c>
      <c r="F474" s="3" t="str">
        <f t="shared" si="1"/>
        <v>December-2025</v>
      </c>
      <c r="G474" s="1">
        <v>21.0</v>
      </c>
      <c r="H474" s="1">
        <v>31400.0</v>
      </c>
      <c r="I474" s="1">
        <v>6312.0</v>
      </c>
      <c r="J474" s="1">
        <v>8155.0</v>
      </c>
      <c r="K474" s="1">
        <v>16933.0</v>
      </c>
    </row>
    <row r="475">
      <c r="A475" s="1" t="s">
        <v>11</v>
      </c>
      <c r="B475" s="1" t="s">
        <v>486</v>
      </c>
      <c r="C475" s="1" t="s">
        <v>13</v>
      </c>
      <c r="D475" s="2">
        <v>46001.92849537037</v>
      </c>
      <c r="E475" s="3">
        <v>46001.0</v>
      </c>
      <c r="F475" s="3" t="str">
        <f t="shared" si="1"/>
        <v>December-2025</v>
      </c>
      <c r="G475" s="1">
        <v>22.0</v>
      </c>
      <c r="H475" s="1">
        <v>22900.0</v>
      </c>
      <c r="I475" s="1">
        <v>4323.0</v>
      </c>
      <c r="J475" s="1">
        <v>5611.0</v>
      </c>
      <c r="K475" s="1">
        <v>12966.0</v>
      </c>
    </row>
    <row r="476">
      <c r="A476" s="1" t="s">
        <v>11</v>
      </c>
      <c r="B476" s="1" t="s">
        <v>487</v>
      </c>
      <c r="C476" s="1" t="s">
        <v>13</v>
      </c>
      <c r="D476" s="2">
        <v>46002.46803240741</v>
      </c>
      <c r="E476" s="3">
        <v>46002.0</v>
      </c>
      <c r="F476" s="3" t="str">
        <f t="shared" si="1"/>
        <v>December-2025</v>
      </c>
      <c r="G476" s="1">
        <v>11.0</v>
      </c>
      <c r="H476" s="1">
        <v>45400.0</v>
      </c>
      <c r="I476" s="1">
        <v>9513.0</v>
      </c>
      <c r="J476" s="1">
        <v>10350.0</v>
      </c>
      <c r="K476" s="1">
        <v>25537.0</v>
      </c>
    </row>
    <row r="477">
      <c r="A477" s="1" t="s">
        <v>11</v>
      </c>
      <c r="B477" s="1" t="s">
        <v>488</v>
      </c>
      <c r="C477" s="1" t="s">
        <v>13</v>
      </c>
      <c r="D477" s="2">
        <v>46002.52730324074</v>
      </c>
      <c r="E477" s="3">
        <v>46002.0</v>
      </c>
      <c r="F477" s="3" t="str">
        <f t="shared" si="1"/>
        <v>December-2025</v>
      </c>
      <c r="G477" s="1">
        <v>12.0</v>
      </c>
      <c r="H477" s="1">
        <v>45400.0</v>
      </c>
      <c r="I477" s="1">
        <v>9390.0</v>
      </c>
      <c r="J477" s="1">
        <v>10840.0</v>
      </c>
      <c r="K477" s="1">
        <v>25170.0</v>
      </c>
    </row>
    <row r="478">
      <c r="A478" s="1" t="s">
        <v>11</v>
      </c>
      <c r="B478" s="1" t="s">
        <v>489</v>
      </c>
      <c r="C478" s="1" t="s">
        <v>13</v>
      </c>
      <c r="D478" s="2">
        <v>46002.563472222224</v>
      </c>
      <c r="E478" s="3">
        <v>46002.0</v>
      </c>
      <c r="F478" s="3" t="str">
        <f t="shared" si="1"/>
        <v>December-2025</v>
      </c>
      <c r="G478" s="1">
        <v>13.0</v>
      </c>
      <c r="H478" s="1">
        <v>61500.0</v>
      </c>
      <c r="I478" s="1">
        <v>12200.0</v>
      </c>
      <c r="J478" s="1">
        <v>16700.0</v>
      </c>
      <c r="K478" s="1">
        <v>32600.0</v>
      </c>
    </row>
    <row r="479">
      <c r="A479" s="1" t="s">
        <v>11</v>
      </c>
      <c r="B479" s="1" t="s">
        <v>490</v>
      </c>
      <c r="C479" s="1" t="s">
        <v>13</v>
      </c>
      <c r="D479" s="2">
        <v>46002.6484837963</v>
      </c>
      <c r="E479" s="3">
        <v>46002.0</v>
      </c>
      <c r="F479" s="3" t="str">
        <f t="shared" si="1"/>
        <v>December-2025</v>
      </c>
      <c r="G479" s="1">
        <v>15.0</v>
      </c>
      <c r="H479" s="1">
        <v>160300.0</v>
      </c>
      <c r="I479" s="1">
        <v>30618.0</v>
      </c>
      <c r="J479" s="1">
        <v>46831.0</v>
      </c>
      <c r="K479" s="1">
        <v>82851.0</v>
      </c>
    </row>
    <row r="480">
      <c r="A480" s="1" t="s">
        <v>11</v>
      </c>
      <c r="B480" s="1" t="s">
        <v>491</v>
      </c>
      <c r="C480" s="1" t="s">
        <v>13</v>
      </c>
      <c r="D480" s="2">
        <v>46002.73127314815</v>
      </c>
      <c r="E480" s="3">
        <v>46002.0</v>
      </c>
      <c r="F480" s="3" t="str">
        <f t="shared" si="1"/>
        <v>December-2025</v>
      </c>
      <c r="G480" s="1">
        <v>17.0</v>
      </c>
      <c r="H480" s="1">
        <v>76500.0</v>
      </c>
      <c r="I480" s="1">
        <v>15176.0</v>
      </c>
      <c r="J480" s="1">
        <v>19798.0</v>
      </c>
      <c r="K480" s="1">
        <v>41526.0</v>
      </c>
    </row>
    <row r="481">
      <c r="A481" s="1" t="s">
        <v>11</v>
      </c>
      <c r="B481" s="1" t="s">
        <v>492</v>
      </c>
      <c r="C481" s="1" t="s">
        <v>13</v>
      </c>
      <c r="D481" s="2">
        <v>46002.763333333336</v>
      </c>
      <c r="E481" s="3">
        <v>46002.0</v>
      </c>
      <c r="F481" s="3" t="str">
        <f t="shared" si="1"/>
        <v>December-2025</v>
      </c>
      <c r="G481" s="1">
        <v>18.0</v>
      </c>
      <c r="H481" s="1">
        <v>30700.0</v>
      </c>
      <c r="I481" s="1">
        <v>6171.0</v>
      </c>
      <c r="J481" s="1">
        <v>8018.0</v>
      </c>
      <c r="K481" s="1">
        <v>16511.0</v>
      </c>
    </row>
    <row r="482">
      <c r="A482" s="1" t="s">
        <v>11</v>
      </c>
      <c r="B482" s="1" t="s">
        <v>493</v>
      </c>
      <c r="C482" s="1" t="s">
        <v>13</v>
      </c>
      <c r="D482" s="2">
        <v>46002.76939814815</v>
      </c>
      <c r="E482" s="3">
        <v>46002.0</v>
      </c>
      <c r="F482" s="3" t="str">
        <f t="shared" si="1"/>
        <v>December-2025</v>
      </c>
      <c r="G482" s="1">
        <v>18.0</v>
      </c>
      <c r="H482" s="1">
        <v>22900.0</v>
      </c>
      <c r="I482" s="1">
        <v>4323.0</v>
      </c>
      <c r="J482" s="1">
        <v>5611.0</v>
      </c>
      <c r="K482" s="1">
        <v>12966.0</v>
      </c>
    </row>
    <row r="483">
      <c r="A483" s="1" t="s">
        <v>11</v>
      </c>
      <c r="B483" s="1" t="s">
        <v>494</v>
      </c>
      <c r="C483" s="1" t="s">
        <v>13</v>
      </c>
      <c r="D483" s="2">
        <v>46002.83195601852</v>
      </c>
      <c r="E483" s="3">
        <v>46002.0</v>
      </c>
      <c r="F483" s="3" t="str">
        <f t="shared" si="1"/>
        <v>December-2025</v>
      </c>
      <c r="G483" s="1">
        <v>19.0</v>
      </c>
      <c r="H483" s="1">
        <v>33400.0</v>
      </c>
      <c r="I483" s="1">
        <v>6513.0</v>
      </c>
      <c r="J483" s="1">
        <v>9350.0</v>
      </c>
      <c r="K483" s="1">
        <v>17537.0</v>
      </c>
    </row>
    <row r="484">
      <c r="A484" s="1" t="s">
        <v>11</v>
      </c>
      <c r="B484" s="1" t="s">
        <v>495</v>
      </c>
      <c r="C484" s="1" t="s">
        <v>13</v>
      </c>
      <c r="D484" s="2">
        <v>46002.83311342593</v>
      </c>
      <c r="E484" s="3">
        <v>46002.0</v>
      </c>
      <c r="F484" s="3" t="str">
        <f t="shared" si="1"/>
        <v>December-2025</v>
      </c>
      <c r="G484" s="1">
        <v>19.0</v>
      </c>
      <c r="H484" s="1">
        <v>44500.0</v>
      </c>
      <c r="I484" s="1">
        <v>9288.0</v>
      </c>
      <c r="J484" s="1">
        <v>10350.0</v>
      </c>
      <c r="K484" s="1">
        <v>24862.0</v>
      </c>
    </row>
    <row r="485">
      <c r="A485" s="1" t="s">
        <v>11</v>
      </c>
      <c r="B485" s="1" t="s">
        <v>496</v>
      </c>
      <c r="C485" s="1" t="s">
        <v>13</v>
      </c>
      <c r="D485" s="2">
        <v>46002.835</v>
      </c>
      <c r="E485" s="3">
        <v>46002.0</v>
      </c>
      <c r="F485" s="3" t="str">
        <f t="shared" si="1"/>
        <v>December-2025</v>
      </c>
      <c r="G485" s="1">
        <v>20.0</v>
      </c>
      <c r="H485" s="1">
        <v>27500.0</v>
      </c>
      <c r="I485" s="1">
        <v>5191.0</v>
      </c>
      <c r="J485" s="1">
        <v>6738.0</v>
      </c>
      <c r="K485" s="1">
        <v>15571.0</v>
      </c>
    </row>
    <row r="486">
      <c r="A486" s="1" t="s">
        <v>11</v>
      </c>
      <c r="B486" s="4">
        <v>2.86874E18</v>
      </c>
      <c r="C486" s="1" t="s">
        <v>13</v>
      </c>
      <c r="D486" s="2">
        <v>46002.84023148148</v>
      </c>
      <c r="E486" s="3">
        <v>46002.0</v>
      </c>
      <c r="F486" s="3" t="str">
        <f t="shared" si="1"/>
        <v>December-2025</v>
      </c>
      <c r="G486" s="1">
        <v>20.0</v>
      </c>
      <c r="H486" s="1">
        <v>37200.0</v>
      </c>
      <c r="I486" s="1">
        <v>7463.0</v>
      </c>
      <c r="J486" s="1">
        <v>9350.0</v>
      </c>
      <c r="K486" s="1">
        <v>20387.0</v>
      </c>
    </row>
    <row r="487">
      <c r="A487" s="1" t="s">
        <v>11</v>
      </c>
      <c r="B487" s="1" t="s">
        <v>497</v>
      </c>
      <c r="C487" s="1" t="s">
        <v>13</v>
      </c>
      <c r="D487" s="2">
        <v>46002.84626157407</v>
      </c>
      <c r="E487" s="3">
        <v>46002.0</v>
      </c>
      <c r="F487" s="3" t="str">
        <f t="shared" si="1"/>
        <v>December-2025</v>
      </c>
      <c r="G487" s="1">
        <v>20.0</v>
      </c>
      <c r="H487" s="1">
        <v>133300.0</v>
      </c>
      <c r="I487" s="1">
        <v>25461.0</v>
      </c>
      <c r="J487" s="1">
        <v>39959.0</v>
      </c>
      <c r="K487" s="1">
        <v>67880.0</v>
      </c>
    </row>
    <row r="488">
      <c r="A488" s="1" t="s">
        <v>11</v>
      </c>
      <c r="B488" s="1" t="s">
        <v>498</v>
      </c>
      <c r="C488" s="1" t="s">
        <v>13</v>
      </c>
      <c r="D488" s="2">
        <v>46002.87229166667</v>
      </c>
      <c r="E488" s="3">
        <v>46002.0</v>
      </c>
      <c r="F488" s="3" t="str">
        <f t="shared" si="1"/>
        <v>December-2025</v>
      </c>
      <c r="G488" s="1">
        <v>20.0</v>
      </c>
      <c r="H488" s="1">
        <v>41200.0</v>
      </c>
      <c r="I488" s="1">
        <v>8463.0</v>
      </c>
      <c r="J488" s="1">
        <v>10350.0</v>
      </c>
      <c r="K488" s="1">
        <v>22387.0</v>
      </c>
    </row>
    <row r="489">
      <c r="A489" s="1" t="s">
        <v>11</v>
      </c>
      <c r="B489" s="1" t="s">
        <v>499</v>
      </c>
      <c r="C489" s="1" t="s">
        <v>13</v>
      </c>
      <c r="D489" s="2">
        <v>46002.890752314815</v>
      </c>
      <c r="E489" s="3">
        <v>46002.0</v>
      </c>
      <c r="F489" s="3" t="str">
        <f t="shared" si="1"/>
        <v>December-2025</v>
      </c>
      <c r="G489" s="1">
        <v>21.0</v>
      </c>
      <c r="H489" s="1">
        <v>26500.0</v>
      </c>
      <c r="I489" s="1">
        <v>5002.0</v>
      </c>
      <c r="J489" s="1">
        <v>6493.0</v>
      </c>
      <c r="K489" s="1">
        <v>15005.0</v>
      </c>
    </row>
    <row r="490">
      <c r="A490" s="1" t="s">
        <v>11</v>
      </c>
      <c r="B490" s="1" t="s">
        <v>500</v>
      </c>
      <c r="C490" s="1" t="s">
        <v>13</v>
      </c>
      <c r="D490" s="2">
        <v>46002.91321759259</v>
      </c>
      <c r="E490" s="3">
        <v>46002.0</v>
      </c>
      <c r="F490" s="3" t="str">
        <f t="shared" si="1"/>
        <v>December-2025</v>
      </c>
      <c r="G490" s="1">
        <v>21.0</v>
      </c>
      <c r="H490" s="1">
        <v>37000.0</v>
      </c>
      <c r="I490" s="1">
        <v>7290.0</v>
      </c>
      <c r="J490" s="1">
        <v>9840.0</v>
      </c>
      <c r="K490" s="1">
        <v>19870.0</v>
      </c>
    </row>
    <row r="491">
      <c r="A491" s="1" t="s">
        <v>11</v>
      </c>
      <c r="B491" s="1" t="s">
        <v>501</v>
      </c>
      <c r="C491" s="1" t="s">
        <v>13</v>
      </c>
      <c r="D491" s="2">
        <v>46002.94403935185</v>
      </c>
      <c r="E491" s="3">
        <v>46002.0</v>
      </c>
      <c r="F491" s="3" t="str">
        <f t="shared" si="1"/>
        <v>December-2025</v>
      </c>
      <c r="G491" s="1">
        <v>22.0</v>
      </c>
      <c r="H491" s="1">
        <v>22900.0</v>
      </c>
      <c r="I491" s="1">
        <v>4500.0</v>
      </c>
      <c r="J491" s="1">
        <v>4900.0</v>
      </c>
      <c r="K491" s="1">
        <v>13500.0</v>
      </c>
    </row>
    <row r="492">
      <c r="A492" s="1" t="s">
        <v>11</v>
      </c>
      <c r="B492" s="1" t="s">
        <v>502</v>
      </c>
      <c r="C492" s="1" t="s">
        <v>13</v>
      </c>
      <c r="D492" s="2">
        <v>46002.95172453704</v>
      </c>
      <c r="E492" s="3">
        <v>46002.0</v>
      </c>
      <c r="F492" s="3" t="str">
        <f t="shared" si="1"/>
        <v>December-2025</v>
      </c>
      <c r="G492" s="1">
        <v>22.0</v>
      </c>
      <c r="H492" s="1">
        <v>45800.0</v>
      </c>
      <c r="I492" s="1">
        <v>9123.0</v>
      </c>
      <c r="J492" s="1">
        <v>12310.0</v>
      </c>
      <c r="K492" s="1">
        <v>24367.0</v>
      </c>
    </row>
    <row r="493">
      <c r="A493" s="1" t="s">
        <v>11</v>
      </c>
      <c r="B493" s="1" t="s">
        <v>503</v>
      </c>
      <c r="C493" s="1" t="s">
        <v>13</v>
      </c>
      <c r="D493" s="2">
        <v>46003.471134259256</v>
      </c>
      <c r="E493" s="3">
        <v>46003.0</v>
      </c>
      <c r="F493" s="3" t="str">
        <f t="shared" si="1"/>
        <v>December-2025</v>
      </c>
      <c r="G493" s="1">
        <v>11.0</v>
      </c>
      <c r="H493" s="1">
        <v>22900.0</v>
      </c>
      <c r="I493" s="1">
        <v>4323.0</v>
      </c>
      <c r="J493" s="1">
        <v>5611.0</v>
      </c>
      <c r="K493" s="1">
        <v>12966.0</v>
      </c>
    </row>
    <row r="494">
      <c r="A494" s="1" t="s">
        <v>11</v>
      </c>
      <c r="B494" s="1" t="s">
        <v>504</v>
      </c>
      <c r="C494" s="1" t="s">
        <v>13</v>
      </c>
      <c r="D494" s="2">
        <v>46003.48704861111</v>
      </c>
      <c r="E494" s="3">
        <v>46003.0</v>
      </c>
      <c r="F494" s="3" t="str">
        <f t="shared" si="1"/>
        <v>December-2025</v>
      </c>
      <c r="G494" s="1">
        <v>11.0</v>
      </c>
      <c r="H494" s="1">
        <v>40800.0</v>
      </c>
      <c r="I494" s="1">
        <v>7750.0</v>
      </c>
      <c r="J494" s="1">
        <v>12800.0</v>
      </c>
      <c r="K494" s="1">
        <v>20250.0</v>
      </c>
    </row>
    <row r="495">
      <c r="A495" s="1" t="s">
        <v>11</v>
      </c>
      <c r="B495" s="1" t="s">
        <v>505</v>
      </c>
      <c r="C495" s="1" t="s">
        <v>13</v>
      </c>
      <c r="D495" s="2">
        <v>46003.49533564815</v>
      </c>
      <c r="E495" s="3">
        <v>46003.0</v>
      </c>
      <c r="F495" s="3" t="str">
        <f t="shared" si="1"/>
        <v>December-2025</v>
      </c>
      <c r="G495" s="1">
        <v>11.0</v>
      </c>
      <c r="H495" s="1">
        <v>36400.0</v>
      </c>
      <c r="I495" s="1">
        <v>6650.0</v>
      </c>
      <c r="J495" s="1">
        <v>11800.0</v>
      </c>
      <c r="K495" s="1">
        <v>17950.0</v>
      </c>
    </row>
    <row r="496">
      <c r="A496" s="1" t="s">
        <v>11</v>
      </c>
      <c r="B496" s="1" t="s">
        <v>506</v>
      </c>
      <c r="C496" s="1" t="s">
        <v>13</v>
      </c>
      <c r="D496" s="2">
        <v>46003.52055555556</v>
      </c>
      <c r="E496" s="3">
        <v>46003.0</v>
      </c>
      <c r="F496" s="3" t="str">
        <f t="shared" si="1"/>
        <v>December-2025</v>
      </c>
      <c r="G496" s="1">
        <v>12.0</v>
      </c>
      <c r="H496" s="1">
        <v>44300.0</v>
      </c>
      <c r="I496" s="1">
        <v>8013.0</v>
      </c>
      <c r="J496" s="1">
        <v>15250.0</v>
      </c>
      <c r="K496" s="1">
        <v>21037.0</v>
      </c>
    </row>
    <row r="497">
      <c r="A497" s="1" t="s">
        <v>11</v>
      </c>
      <c r="B497" s="1" t="s">
        <v>507</v>
      </c>
      <c r="C497" s="1" t="s">
        <v>13</v>
      </c>
      <c r="D497" s="2">
        <v>46003.58059027778</v>
      </c>
      <c r="E497" s="3">
        <v>46003.0</v>
      </c>
      <c r="F497" s="3" t="str">
        <f t="shared" si="1"/>
        <v>December-2025</v>
      </c>
      <c r="G497" s="1">
        <v>13.0</v>
      </c>
      <c r="H497" s="1">
        <v>25300.0</v>
      </c>
      <c r="I497" s="1">
        <v>5100.0</v>
      </c>
      <c r="J497" s="1">
        <v>4900.0</v>
      </c>
      <c r="K497" s="1">
        <v>15300.0</v>
      </c>
    </row>
    <row r="498">
      <c r="A498" s="1" t="s">
        <v>11</v>
      </c>
      <c r="B498" s="1" t="s">
        <v>508</v>
      </c>
      <c r="C498" s="1" t="s">
        <v>13</v>
      </c>
      <c r="D498" s="2">
        <v>46003.74532407407</v>
      </c>
      <c r="E498" s="3">
        <v>46003.0</v>
      </c>
      <c r="F498" s="3" t="str">
        <f t="shared" si="1"/>
        <v>December-2025</v>
      </c>
      <c r="G498" s="1">
        <v>17.0</v>
      </c>
      <c r="H498" s="1">
        <v>46800.0</v>
      </c>
      <c r="I498" s="1">
        <v>8638.0</v>
      </c>
      <c r="J498" s="1">
        <v>15250.0</v>
      </c>
      <c r="K498" s="1">
        <v>22912.0</v>
      </c>
    </row>
    <row r="499">
      <c r="A499" s="1" t="s">
        <v>11</v>
      </c>
      <c r="B499" s="1" t="s">
        <v>509</v>
      </c>
      <c r="C499" s="1" t="s">
        <v>13</v>
      </c>
      <c r="D499" s="2">
        <v>46003.803564814814</v>
      </c>
      <c r="E499" s="3">
        <v>46003.0</v>
      </c>
      <c r="F499" s="3" t="str">
        <f t="shared" si="1"/>
        <v>December-2025</v>
      </c>
      <c r="G499" s="1">
        <v>19.0</v>
      </c>
      <c r="H499" s="1">
        <v>31400.0</v>
      </c>
      <c r="I499" s="1">
        <v>5350.0</v>
      </c>
      <c r="J499" s="1">
        <v>10001.0</v>
      </c>
      <c r="K499" s="1">
        <v>16049.0</v>
      </c>
    </row>
    <row r="500">
      <c r="A500" s="1" t="s">
        <v>11</v>
      </c>
      <c r="B500" s="1" t="s">
        <v>510</v>
      </c>
      <c r="C500" s="1" t="s">
        <v>13</v>
      </c>
      <c r="D500" s="2">
        <v>46003.82244212963</v>
      </c>
      <c r="E500" s="3">
        <v>46003.0</v>
      </c>
      <c r="F500" s="3" t="str">
        <f t="shared" si="1"/>
        <v>December-2025</v>
      </c>
      <c r="G500" s="1">
        <v>19.0</v>
      </c>
      <c r="H500" s="1">
        <v>22900.0</v>
      </c>
      <c r="I500" s="1">
        <v>4500.0</v>
      </c>
      <c r="J500" s="1">
        <v>4900.0</v>
      </c>
      <c r="K500" s="1">
        <v>13500.0</v>
      </c>
    </row>
    <row r="501">
      <c r="A501" s="1" t="s">
        <v>11</v>
      </c>
      <c r="B501" s="1" t="s">
        <v>511</v>
      </c>
      <c r="C501" s="1" t="s">
        <v>13</v>
      </c>
      <c r="D501" s="2">
        <v>46003.826886574076</v>
      </c>
      <c r="E501" s="3">
        <v>46003.0</v>
      </c>
      <c r="F501" s="3" t="str">
        <f t="shared" si="1"/>
        <v>December-2025</v>
      </c>
      <c r="G501" s="1">
        <v>19.0</v>
      </c>
      <c r="H501" s="1">
        <v>39200.0</v>
      </c>
      <c r="I501" s="1">
        <v>7350.0</v>
      </c>
      <c r="J501" s="1">
        <v>11800.0</v>
      </c>
      <c r="K501" s="1">
        <v>20050.0</v>
      </c>
    </row>
    <row r="502">
      <c r="A502" s="1" t="s">
        <v>11</v>
      </c>
      <c r="B502" s="1" t="s">
        <v>512</v>
      </c>
      <c r="C502" s="1" t="s">
        <v>13</v>
      </c>
      <c r="D502" s="2">
        <v>46003.86954861111</v>
      </c>
      <c r="E502" s="3">
        <v>46003.0</v>
      </c>
      <c r="F502" s="3" t="str">
        <f t="shared" si="1"/>
        <v>December-2025</v>
      </c>
      <c r="G502" s="1">
        <v>20.0</v>
      </c>
      <c r="H502" s="1">
        <v>32700.0</v>
      </c>
      <c r="I502" s="1">
        <v>8175.0</v>
      </c>
      <c r="J502" s="1">
        <v>2000.0</v>
      </c>
      <c r="K502" s="1">
        <v>22525.0</v>
      </c>
    </row>
    <row r="503">
      <c r="A503" s="1" t="s">
        <v>11</v>
      </c>
      <c r="B503" s="1" t="s">
        <v>513</v>
      </c>
      <c r="C503" s="1" t="s">
        <v>13</v>
      </c>
      <c r="D503" s="2">
        <v>46003.900717592594</v>
      </c>
      <c r="E503" s="3">
        <v>46003.0</v>
      </c>
      <c r="F503" s="3" t="str">
        <f t="shared" si="1"/>
        <v>December-2025</v>
      </c>
      <c r="G503" s="1">
        <v>21.0</v>
      </c>
      <c r="H503" s="1">
        <v>30700.0</v>
      </c>
      <c r="I503" s="1">
        <v>5419.0</v>
      </c>
      <c r="J503" s="1">
        <v>11026.0</v>
      </c>
      <c r="K503" s="1">
        <v>14255.0</v>
      </c>
    </row>
    <row r="504">
      <c r="A504" s="1" t="s">
        <v>11</v>
      </c>
      <c r="B504" s="1" t="s">
        <v>514</v>
      </c>
      <c r="C504" s="1" t="s">
        <v>13</v>
      </c>
      <c r="D504" s="2">
        <v>46004.5200462963</v>
      </c>
      <c r="E504" s="3">
        <v>46004.0</v>
      </c>
      <c r="F504" s="3" t="str">
        <f t="shared" si="1"/>
        <v>December-2025</v>
      </c>
      <c r="G504" s="1">
        <v>12.0</v>
      </c>
      <c r="H504" s="1">
        <v>74600.0</v>
      </c>
      <c r="I504" s="1">
        <v>14799.0</v>
      </c>
      <c r="J504" s="1">
        <v>19405.0</v>
      </c>
      <c r="K504" s="1">
        <v>40396.0</v>
      </c>
    </row>
    <row r="505">
      <c r="A505" s="1" t="s">
        <v>11</v>
      </c>
      <c r="B505" s="1" t="s">
        <v>515</v>
      </c>
      <c r="C505" s="1" t="s">
        <v>13</v>
      </c>
      <c r="D505" s="2">
        <v>46004.543020833335</v>
      </c>
      <c r="E505" s="3">
        <v>46004.0</v>
      </c>
      <c r="F505" s="3" t="str">
        <f t="shared" si="1"/>
        <v>December-2025</v>
      </c>
      <c r="G505" s="1">
        <v>13.0</v>
      </c>
      <c r="H505" s="1">
        <v>18500.0</v>
      </c>
      <c r="I505" s="1">
        <v>3719.0</v>
      </c>
      <c r="J505" s="1">
        <v>3626.0</v>
      </c>
      <c r="K505" s="1">
        <v>11155.0</v>
      </c>
    </row>
    <row r="506">
      <c r="A506" s="1" t="s">
        <v>11</v>
      </c>
      <c r="B506" s="1" t="s">
        <v>516</v>
      </c>
      <c r="C506" s="1" t="s">
        <v>13</v>
      </c>
      <c r="D506" s="2">
        <v>46004.54818287037</v>
      </c>
      <c r="E506" s="3">
        <v>46004.0</v>
      </c>
      <c r="F506" s="3" t="str">
        <f t="shared" si="1"/>
        <v>December-2025</v>
      </c>
      <c r="G506" s="1">
        <v>13.0</v>
      </c>
      <c r="H506" s="1">
        <v>22900.0</v>
      </c>
      <c r="I506" s="1">
        <v>4603.0</v>
      </c>
      <c r="J506" s="1">
        <v>4489.0</v>
      </c>
      <c r="K506" s="1">
        <v>13808.0</v>
      </c>
    </row>
    <row r="507">
      <c r="A507" s="1" t="s">
        <v>11</v>
      </c>
      <c r="B507" s="1" t="s">
        <v>517</v>
      </c>
      <c r="C507" s="1" t="s">
        <v>13</v>
      </c>
      <c r="D507" s="2">
        <v>46004.58351851852</v>
      </c>
      <c r="E507" s="3">
        <v>46004.0</v>
      </c>
      <c r="F507" s="3" t="str">
        <f t="shared" si="1"/>
        <v>December-2025</v>
      </c>
      <c r="G507" s="1">
        <v>14.0</v>
      </c>
      <c r="H507" s="1">
        <v>24300.0</v>
      </c>
      <c r="I507" s="1">
        <v>6075.0</v>
      </c>
      <c r="J507" s="1">
        <v>0.0</v>
      </c>
      <c r="K507" s="1">
        <v>18225.0</v>
      </c>
    </row>
    <row r="508">
      <c r="A508" s="1" t="s">
        <v>11</v>
      </c>
      <c r="B508" s="1" t="s">
        <v>518</v>
      </c>
      <c r="C508" s="1" t="s">
        <v>13</v>
      </c>
      <c r="D508" s="2">
        <v>46004.645219907405</v>
      </c>
      <c r="E508" s="3">
        <v>46004.0</v>
      </c>
      <c r="F508" s="3" t="str">
        <f t="shared" si="1"/>
        <v>December-2025</v>
      </c>
      <c r="G508" s="1">
        <v>15.0</v>
      </c>
      <c r="H508" s="1">
        <v>22900.0</v>
      </c>
      <c r="I508" s="1">
        <v>4603.0</v>
      </c>
      <c r="J508" s="1">
        <v>4489.0</v>
      </c>
      <c r="K508" s="1">
        <v>13808.0</v>
      </c>
    </row>
    <row r="509">
      <c r="A509" s="1" t="s">
        <v>11</v>
      </c>
      <c r="B509" s="1" t="s">
        <v>519</v>
      </c>
      <c r="C509" s="1" t="s">
        <v>13</v>
      </c>
      <c r="D509" s="2">
        <v>46004.78870370371</v>
      </c>
      <c r="E509" s="3">
        <v>46004.0</v>
      </c>
      <c r="F509" s="3" t="str">
        <f t="shared" si="1"/>
        <v>December-2025</v>
      </c>
      <c r="G509" s="1">
        <v>18.0</v>
      </c>
      <c r="H509" s="1">
        <v>68300.0</v>
      </c>
      <c r="I509" s="1">
        <v>13549.0</v>
      </c>
      <c r="J509" s="1">
        <v>18104.0</v>
      </c>
      <c r="K509" s="1">
        <v>36647.0</v>
      </c>
    </row>
    <row r="510">
      <c r="A510" s="1" t="s">
        <v>11</v>
      </c>
      <c r="B510" s="1" t="s">
        <v>520</v>
      </c>
      <c r="C510" s="1" t="s">
        <v>13</v>
      </c>
      <c r="D510" s="2">
        <v>46004.79248842593</v>
      </c>
      <c r="E510" s="3">
        <v>46004.0</v>
      </c>
      <c r="F510" s="3" t="str">
        <f t="shared" si="1"/>
        <v>December-2025</v>
      </c>
      <c r="G510" s="1">
        <v>19.0</v>
      </c>
      <c r="H510" s="1">
        <v>25300.0</v>
      </c>
      <c r="I510" s="1">
        <v>5100.0</v>
      </c>
      <c r="J510" s="1">
        <v>4900.0</v>
      </c>
      <c r="K510" s="1">
        <v>15300.0</v>
      </c>
    </row>
    <row r="511">
      <c r="A511" s="1" t="s">
        <v>11</v>
      </c>
      <c r="B511" s="1" t="s">
        <v>521</v>
      </c>
      <c r="C511" s="1" t="s">
        <v>13</v>
      </c>
      <c r="D511" s="2">
        <v>46004.80762731482</v>
      </c>
      <c r="E511" s="3">
        <v>46004.0</v>
      </c>
      <c r="F511" s="3" t="str">
        <f t="shared" si="1"/>
        <v>December-2025</v>
      </c>
      <c r="G511" s="1">
        <v>19.0</v>
      </c>
      <c r="H511" s="1">
        <v>32600.0</v>
      </c>
      <c r="I511" s="1">
        <v>6553.0</v>
      </c>
      <c r="J511" s="1">
        <v>8390.0</v>
      </c>
      <c r="K511" s="1">
        <v>17657.0</v>
      </c>
    </row>
    <row r="512">
      <c r="A512" s="1" t="s">
        <v>11</v>
      </c>
      <c r="B512" s="1" t="s">
        <v>522</v>
      </c>
      <c r="C512" s="1" t="s">
        <v>13</v>
      </c>
      <c r="D512" s="2">
        <v>46004.90703703704</v>
      </c>
      <c r="E512" s="3">
        <v>46004.0</v>
      </c>
      <c r="F512" s="3" t="str">
        <f t="shared" si="1"/>
        <v>December-2025</v>
      </c>
      <c r="G512" s="1">
        <v>21.0</v>
      </c>
      <c r="H512" s="1">
        <v>46200.0</v>
      </c>
      <c r="I512" s="1">
        <v>9713.0</v>
      </c>
      <c r="J512" s="1">
        <v>10350.0</v>
      </c>
      <c r="K512" s="1">
        <v>26137.0</v>
      </c>
    </row>
    <row r="513">
      <c r="A513" s="1" t="s">
        <v>11</v>
      </c>
      <c r="B513" s="1" t="s">
        <v>523</v>
      </c>
      <c r="C513" s="1" t="s">
        <v>13</v>
      </c>
      <c r="D513" s="2">
        <v>46005.48380787037</v>
      </c>
      <c r="E513" s="3">
        <v>46005.0</v>
      </c>
      <c r="F513" s="3" t="str">
        <f t="shared" si="1"/>
        <v>December-2025</v>
      </c>
      <c r="G513" s="1">
        <v>11.0</v>
      </c>
      <c r="H513" s="1">
        <v>45800.0</v>
      </c>
      <c r="I513" s="1">
        <v>9613.0</v>
      </c>
      <c r="J513" s="1">
        <v>10350.0</v>
      </c>
      <c r="K513" s="1">
        <v>25837.0</v>
      </c>
    </row>
    <row r="514">
      <c r="A514" s="1" t="s">
        <v>11</v>
      </c>
      <c r="B514" s="1" t="s">
        <v>524</v>
      </c>
      <c r="C514" s="1" t="s">
        <v>13</v>
      </c>
      <c r="D514" s="2">
        <v>46005.48582175926</v>
      </c>
      <c r="E514" s="3">
        <v>46005.0</v>
      </c>
      <c r="F514" s="3" t="str">
        <f t="shared" si="1"/>
        <v>December-2025</v>
      </c>
      <c r="G514" s="1">
        <v>11.0</v>
      </c>
      <c r="H514" s="1">
        <v>22500.0</v>
      </c>
      <c r="I514" s="1">
        <v>4400.0</v>
      </c>
      <c r="J514" s="1">
        <v>4900.0</v>
      </c>
      <c r="K514" s="1">
        <v>13200.0</v>
      </c>
    </row>
    <row r="515">
      <c r="A515" s="1" t="s">
        <v>11</v>
      </c>
      <c r="B515" s="1" t="s">
        <v>525</v>
      </c>
      <c r="C515" s="1" t="s">
        <v>13</v>
      </c>
      <c r="D515" s="2">
        <v>46005.522361111114</v>
      </c>
      <c r="E515" s="3">
        <v>46005.0</v>
      </c>
      <c r="F515" s="3" t="str">
        <f t="shared" si="1"/>
        <v>December-2025</v>
      </c>
      <c r="G515" s="1">
        <v>12.0</v>
      </c>
      <c r="H515" s="1">
        <v>27400.0</v>
      </c>
      <c r="I515" s="1">
        <v>5625.0</v>
      </c>
      <c r="J515" s="1">
        <v>4900.0</v>
      </c>
      <c r="K515" s="1">
        <v>16875.0</v>
      </c>
    </row>
    <row r="516">
      <c r="A516" s="1" t="s">
        <v>11</v>
      </c>
      <c r="B516" s="1" t="s">
        <v>526</v>
      </c>
      <c r="C516" s="1" t="s">
        <v>13</v>
      </c>
      <c r="D516" s="2">
        <v>46005.560960648145</v>
      </c>
      <c r="E516" s="3">
        <v>46005.0</v>
      </c>
      <c r="F516" s="3" t="str">
        <f t="shared" si="1"/>
        <v>December-2025</v>
      </c>
      <c r="G516" s="1">
        <v>13.0</v>
      </c>
      <c r="H516" s="1">
        <v>22900.0</v>
      </c>
      <c r="I516" s="1">
        <v>4603.0</v>
      </c>
      <c r="J516" s="1">
        <v>4489.0</v>
      </c>
      <c r="K516" s="1">
        <v>13808.0</v>
      </c>
    </row>
    <row r="517">
      <c r="A517" s="1" t="s">
        <v>11</v>
      </c>
      <c r="B517" s="1" t="s">
        <v>527</v>
      </c>
      <c r="C517" s="1" t="s">
        <v>13</v>
      </c>
      <c r="D517" s="2">
        <v>46005.570185185185</v>
      </c>
      <c r="E517" s="3">
        <v>46005.0</v>
      </c>
      <c r="F517" s="3" t="str">
        <f t="shared" si="1"/>
        <v>December-2025</v>
      </c>
      <c r="G517" s="1">
        <v>13.0</v>
      </c>
      <c r="H517" s="1">
        <v>17900.0</v>
      </c>
      <c r="I517" s="1">
        <v>3598.0</v>
      </c>
      <c r="J517" s="1">
        <v>3509.0</v>
      </c>
      <c r="K517" s="1">
        <v>10793.0</v>
      </c>
    </row>
    <row r="518">
      <c r="A518" s="1" t="s">
        <v>11</v>
      </c>
      <c r="B518" s="1" t="s">
        <v>528</v>
      </c>
      <c r="C518" s="1" t="s">
        <v>13</v>
      </c>
      <c r="D518" s="2">
        <v>46005.58943287037</v>
      </c>
      <c r="E518" s="3">
        <v>46005.0</v>
      </c>
      <c r="F518" s="3" t="str">
        <f t="shared" si="1"/>
        <v>December-2025</v>
      </c>
      <c r="G518" s="1">
        <v>14.0</v>
      </c>
      <c r="H518" s="1">
        <v>54800.0</v>
      </c>
      <c r="I518" s="1">
        <v>10871.0</v>
      </c>
      <c r="J518" s="1">
        <v>15317.0</v>
      </c>
      <c r="K518" s="1">
        <v>28612.0</v>
      </c>
    </row>
    <row r="519">
      <c r="A519" s="1" t="s">
        <v>11</v>
      </c>
      <c r="B519" s="1" t="s">
        <v>529</v>
      </c>
      <c r="C519" s="1" t="s">
        <v>13</v>
      </c>
      <c r="D519" s="2">
        <v>46005.590520833335</v>
      </c>
      <c r="E519" s="3">
        <v>46005.0</v>
      </c>
      <c r="F519" s="3" t="str">
        <f t="shared" si="1"/>
        <v>December-2025</v>
      </c>
      <c r="G519" s="1">
        <v>14.0</v>
      </c>
      <c r="H519" s="1">
        <v>58700.0</v>
      </c>
      <c r="I519" s="1">
        <v>11645.0</v>
      </c>
      <c r="J519" s="1">
        <v>16122.0</v>
      </c>
      <c r="K519" s="1">
        <v>30933.0</v>
      </c>
    </row>
    <row r="520">
      <c r="A520" s="1" t="s">
        <v>11</v>
      </c>
      <c r="B520" s="1" t="s">
        <v>530</v>
      </c>
      <c r="C520" s="1" t="s">
        <v>13</v>
      </c>
      <c r="D520" s="2">
        <v>46005.6093287037</v>
      </c>
      <c r="E520" s="3">
        <v>46005.0</v>
      </c>
      <c r="F520" s="3" t="str">
        <f t="shared" si="1"/>
        <v>December-2025</v>
      </c>
      <c r="G520" s="1">
        <v>14.0</v>
      </c>
      <c r="H520" s="1">
        <v>30300.0</v>
      </c>
      <c r="I520" s="1">
        <v>6091.0</v>
      </c>
      <c r="J520" s="1">
        <v>7939.0</v>
      </c>
      <c r="K520" s="1">
        <v>16270.0</v>
      </c>
    </row>
    <row r="521">
      <c r="A521" s="1" t="s">
        <v>11</v>
      </c>
      <c r="B521" s="1" t="s">
        <v>531</v>
      </c>
      <c r="C521" s="1" t="s">
        <v>13</v>
      </c>
      <c r="D521" s="2">
        <v>46005.75337962963</v>
      </c>
      <c r="E521" s="3">
        <v>46005.0</v>
      </c>
      <c r="F521" s="3" t="str">
        <f t="shared" si="1"/>
        <v>December-2025</v>
      </c>
      <c r="G521" s="1">
        <v>18.0</v>
      </c>
      <c r="H521" s="1">
        <v>35800.0</v>
      </c>
      <c r="I521" s="1">
        <v>7196.0</v>
      </c>
      <c r="J521" s="1">
        <v>9017.0</v>
      </c>
      <c r="K521" s="1">
        <v>19587.0</v>
      </c>
    </row>
    <row r="522">
      <c r="A522" s="1" t="s">
        <v>11</v>
      </c>
      <c r="B522" s="1" t="s">
        <v>532</v>
      </c>
      <c r="C522" s="1" t="s">
        <v>13</v>
      </c>
      <c r="D522" s="2">
        <v>46005.77556712963</v>
      </c>
      <c r="E522" s="3">
        <v>46005.0</v>
      </c>
      <c r="F522" s="3" t="str">
        <f t="shared" si="1"/>
        <v>December-2025</v>
      </c>
      <c r="G522" s="1">
        <v>18.0</v>
      </c>
      <c r="H522" s="1">
        <v>98800.0</v>
      </c>
      <c r="I522" s="1">
        <v>19600.0</v>
      </c>
      <c r="J522" s="1">
        <v>24403.0</v>
      </c>
      <c r="K522" s="1">
        <v>54797.0</v>
      </c>
    </row>
    <row r="523">
      <c r="A523" s="1" t="s">
        <v>11</v>
      </c>
      <c r="B523" s="1" t="s">
        <v>533</v>
      </c>
      <c r="C523" s="1" t="s">
        <v>13</v>
      </c>
      <c r="D523" s="2">
        <v>46005.78623842593</v>
      </c>
      <c r="E523" s="3">
        <v>46005.0</v>
      </c>
      <c r="F523" s="3" t="str">
        <f t="shared" si="1"/>
        <v>December-2025</v>
      </c>
      <c r="G523" s="1">
        <v>18.0</v>
      </c>
      <c r="H523" s="1">
        <v>45800.0</v>
      </c>
      <c r="I523" s="1">
        <v>11450.0</v>
      </c>
      <c r="J523" s="1">
        <v>3000.0</v>
      </c>
      <c r="K523" s="1">
        <v>31350.0</v>
      </c>
    </row>
    <row r="524">
      <c r="A524" s="1" t="s">
        <v>11</v>
      </c>
      <c r="B524" s="1" t="s">
        <v>534</v>
      </c>
      <c r="C524" s="1" t="s">
        <v>13</v>
      </c>
      <c r="D524" s="2">
        <v>46005.78821759259</v>
      </c>
      <c r="E524" s="3">
        <v>46005.0</v>
      </c>
      <c r="F524" s="3" t="str">
        <f t="shared" si="1"/>
        <v>December-2025</v>
      </c>
      <c r="G524" s="1">
        <v>18.0</v>
      </c>
      <c r="H524" s="1">
        <v>47900.0</v>
      </c>
      <c r="I524" s="1">
        <v>10138.0</v>
      </c>
      <c r="J524" s="1">
        <v>9350.0</v>
      </c>
      <c r="K524" s="1">
        <v>28412.0</v>
      </c>
    </row>
    <row r="525">
      <c r="A525" s="1" t="s">
        <v>11</v>
      </c>
      <c r="B525" s="1" t="s">
        <v>535</v>
      </c>
      <c r="C525" s="1" t="s">
        <v>13</v>
      </c>
      <c r="D525" s="2">
        <v>46005.799259259256</v>
      </c>
      <c r="E525" s="3">
        <v>46005.0</v>
      </c>
      <c r="F525" s="3" t="str">
        <f t="shared" si="1"/>
        <v>December-2025</v>
      </c>
      <c r="G525" s="1">
        <v>19.0</v>
      </c>
      <c r="H525" s="1">
        <v>50000.0</v>
      </c>
      <c r="I525" s="1">
        <v>9919.0</v>
      </c>
      <c r="J525" s="1">
        <v>14325.0</v>
      </c>
      <c r="K525" s="1">
        <v>25756.0</v>
      </c>
    </row>
    <row r="526">
      <c r="A526" s="1" t="s">
        <v>11</v>
      </c>
      <c r="B526" s="1" t="s">
        <v>536</v>
      </c>
      <c r="C526" s="1" t="s">
        <v>13</v>
      </c>
      <c r="D526" s="2">
        <v>46005.83494212963</v>
      </c>
      <c r="E526" s="3">
        <v>46005.0</v>
      </c>
      <c r="F526" s="3" t="str">
        <f t="shared" si="1"/>
        <v>December-2025</v>
      </c>
      <c r="G526" s="1">
        <v>20.0</v>
      </c>
      <c r="H526" s="1">
        <v>34300.0</v>
      </c>
      <c r="I526" s="1">
        <v>6370.0</v>
      </c>
      <c r="J526" s="1">
        <v>8820.0</v>
      </c>
      <c r="K526" s="1">
        <v>19110.0</v>
      </c>
    </row>
    <row r="527">
      <c r="A527" s="1" t="s">
        <v>11</v>
      </c>
      <c r="B527" s="1" t="s">
        <v>537</v>
      </c>
      <c r="C527" s="1" t="s">
        <v>13</v>
      </c>
      <c r="D527" s="2">
        <v>46005.88483796296</v>
      </c>
      <c r="E527" s="3">
        <v>46005.0</v>
      </c>
      <c r="F527" s="3" t="str">
        <f t="shared" si="1"/>
        <v>December-2025</v>
      </c>
      <c r="G527" s="1">
        <v>21.0</v>
      </c>
      <c r="H527" s="1">
        <v>68700.0</v>
      </c>
      <c r="I527" s="1">
        <v>13629.0</v>
      </c>
      <c r="J527" s="1">
        <v>18187.0</v>
      </c>
      <c r="K527" s="1">
        <v>36884.0</v>
      </c>
    </row>
    <row r="528">
      <c r="A528" s="1" t="s">
        <v>11</v>
      </c>
      <c r="B528" s="1" t="s">
        <v>538</v>
      </c>
      <c r="C528" s="1" t="s">
        <v>13</v>
      </c>
      <c r="D528" s="2">
        <v>46005.8937037037</v>
      </c>
      <c r="E528" s="3">
        <v>46005.0</v>
      </c>
      <c r="F528" s="3" t="str">
        <f t="shared" si="1"/>
        <v>December-2025</v>
      </c>
      <c r="G528" s="1">
        <v>21.0</v>
      </c>
      <c r="H528" s="1">
        <v>23400.0</v>
      </c>
      <c r="I528" s="1">
        <v>4704.0</v>
      </c>
      <c r="J528" s="1">
        <v>4587.0</v>
      </c>
      <c r="K528" s="1">
        <v>14109.0</v>
      </c>
    </row>
    <row r="529">
      <c r="A529" s="1" t="s">
        <v>11</v>
      </c>
      <c r="B529" s="1" t="s">
        <v>539</v>
      </c>
      <c r="C529" s="1" t="s">
        <v>13</v>
      </c>
      <c r="D529" s="2">
        <v>46005.91672453703</v>
      </c>
      <c r="E529" s="3">
        <v>46005.0</v>
      </c>
      <c r="F529" s="3" t="str">
        <f t="shared" si="1"/>
        <v>December-2025</v>
      </c>
      <c r="G529" s="1">
        <v>22.0</v>
      </c>
      <c r="H529" s="1">
        <v>23400.0</v>
      </c>
      <c r="I529" s="1">
        <v>4704.0</v>
      </c>
      <c r="J529" s="1">
        <v>4587.0</v>
      </c>
      <c r="K529" s="1">
        <v>14109.0</v>
      </c>
    </row>
    <row r="530">
      <c r="A530" s="1" t="s">
        <v>11</v>
      </c>
      <c r="B530" s="1" t="s">
        <v>540</v>
      </c>
      <c r="C530" s="1" t="s">
        <v>13</v>
      </c>
      <c r="D530" s="2">
        <v>46005.91972222222</v>
      </c>
      <c r="E530" s="3">
        <v>46005.0</v>
      </c>
      <c r="F530" s="3" t="str">
        <f t="shared" si="1"/>
        <v>December-2025</v>
      </c>
      <c r="G530" s="1">
        <v>22.0</v>
      </c>
      <c r="H530" s="1">
        <v>17900.0</v>
      </c>
      <c r="I530" s="1">
        <v>3598.0</v>
      </c>
      <c r="J530" s="1">
        <v>3509.0</v>
      </c>
      <c r="K530" s="1">
        <v>10793.0</v>
      </c>
    </row>
    <row r="531">
      <c r="A531" s="1" t="s">
        <v>11</v>
      </c>
      <c r="B531" s="1" t="s">
        <v>541</v>
      </c>
      <c r="C531" s="1" t="s">
        <v>13</v>
      </c>
      <c r="D531" s="2">
        <v>46006.540659722225</v>
      </c>
      <c r="E531" s="3">
        <v>46006.0</v>
      </c>
      <c r="F531" s="3" t="str">
        <f t="shared" si="1"/>
        <v>December-2025</v>
      </c>
      <c r="G531" s="1">
        <v>12.0</v>
      </c>
      <c r="H531" s="1">
        <v>17900.0</v>
      </c>
      <c r="I531" s="1">
        <v>4475.0</v>
      </c>
      <c r="J531" s="1">
        <v>0.0</v>
      </c>
      <c r="K531" s="1">
        <v>13425.0</v>
      </c>
    </row>
    <row r="532">
      <c r="A532" s="1" t="s">
        <v>11</v>
      </c>
      <c r="B532" s="1" t="s">
        <v>542</v>
      </c>
      <c r="C532" s="1" t="s">
        <v>13</v>
      </c>
      <c r="D532" s="2">
        <v>46006.771157407406</v>
      </c>
      <c r="E532" s="3">
        <v>46006.0</v>
      </c>
      <c r="F532" s="3" t="str">
        <f t="shared" si="1"/>
        <v>December-2025</v>
      </c>
      <c r="G532" s="1">
        <v>18.0</v>
      </c>
      <c r="H532" s="1">
        <v>50900.0</v>
      </c>
      <c r="I532" s="1">
        <v>10098.0</v>
      </c>
      <c r="J532" s="1">
        <v>14511.0</v>
      </c>
      <c r="K532" s="1">
        <v>26291.0</v>
      </c>
    </row>
    <row r="533">
      <c r="A533" s="1" t="s">
        <v>11</v>
      </c>
      <c r="B533" s="1" t="s">
        <v>543</v>
      </c>
      <c r="C533" s="1" t="s">
        <v>13</v>
      </c>
      <c r="D533" s="2">
        <v>46006.81145833333</v>
      </c>
      <c r="E533" s="3">
        <v>46006.0</v>
      </c>
      <c r="F533" s="3" t="str">
        <f t="shared" si="1"/>
        <v>December-2025</v>
      </c>
      <c r="G533" s="1">
        <v>19.0</v>
      </c>
      <c r="H533" s="1">
        <v>36400.0</v>
      </c>
      <c r="I533" s="1">
        <v>7317.0</v>
      </c>
      <c r="J533" s="1">
        <v>9135.0</v>
      </c>
      <c r="K533" s="1">
        <v>19948.0</v>
      </c>
    </row>
    <row r="534">
      <c r="A534" s="1" t="s">
        <v>11</v>
      </c>
      <c r="B534" s="1" t="s">
        <v>544</v>
      </c>
      <c r="C534" s="1" t="s">
        <v>13</v>
      </c>
      <c r="D534" s="2">
        <v>46006.81914351852</v>
      </c>
      <c r="E534" s="3">
        <v>46006.0</v>
      </c>
      <c r="F534" s="3" t="str">
        <f t="shared" si="1"/>
        <v>December-2025</v>
      </c>
      <c r="G534" s="1">
        <v>19.0</v>
      </c>
      <c r="H534" s="1">
        <v>73800.0</v>
      </c>
      <c r="I534" s="1">
        <v>14640.0</v>
      </c>
      <c r="J534" s="1">
        <v>19240.0</v>
      </c>
      <c r="K534" s="1">
        <v>39920.0</v>
      </c>
    </row>
    <row r="535">
      <c r="A535" s="1" t="s">
        <v>11</v>
      </c>
      <c r="B535" s="1" t="s">
        <v>545</v>
      </c>
      <c r="C535" s="1" t="s">
        <v>13</v>
      </c>
      <c r="D535" s="2">
        <v>46006.82376157407</v>
      </c>
      <c r="E535" s="3">
        <v>46006.0</v>
      </c>
      <c r="F535" s="3" t="str">
        <f t="shared" si="1"/>
        <v>December-2025</v>
      </c>
      <c r="G535" s="1">
        <v>19.0</v>
      </c>
      <c r="H535" s="1">
        <v>27400.0</v>
      </c>
      <c r="I535" s="1">
        <v>5625.0</v>
      </c>
      <c r="J535" s="1">
        <v>4900.0</v>
      </c>
      <c r="K535" s="1">
        <v>16875.0</v>
      </c>
    </row>
    <row r="536">
      <c r="A536" s="1" t="s">
        <v>11</v>
      </c>
      <c r="B536" s="1" t="s">
        <v>546</v>
      </c>
      <c r="C536" s="1" t="s">
        <v>13</v>
      </c>
      <c r="D536" s="2">
        <v>46006.91574074074</v>
      </c>
      <c r="E536" s="3">
        <v>46006.0</v>
      </c>
      <c r="F536" s="3" t="str">
        <f t="shared" si="1"/>
        <v>December-2025</v>
      </c>
      <c r="G536" s="1">
        <v>21.0</v>
      </c>
      <c r="H536" s="1">
        <v>22900.0</v>
      </c>
      <c r="I536" s="1">
        <v>4603.0</v>
      </c>
      <c r="J536" s="1">
        <v>4489.0</v>
      </c>
      <c r="K536" s="1">
        <v>13808.0</v>
      </c>
    </row>
    <row r="537">
      <c r="A537" s="1" t="s">
        <v>11</v>
      </c>
      <c r="B537" s="1" t="s">
        <v>547</v>
      </c>
      <c r="C537" s="1" t="s">
        <v>13</v>
      </c>
      <c r="D537" s="2">
        <v>46006.95594907407</v>
      </c>
      <c r="E537" s="3">
        <v>46006.0</v>
      </c>
      <c r="F537" s="3" t="str">
        <f t="shared" si="1"/>
        <v>December-2025</v>
      </c>
      <c r="G537" s="1">
        <v>22.0</v>
      </c>
      <c r="H537" s="1">
        <v>18500.0</v>
      </c>
      <c r="I537" s="1">
        <v>3719.0</v>
      </c>
      <c r="J537" s="1">
        <v>3626.0</v>
      </c>
      <c r="K537" s="1">
        <v>11155.0</v>
      </c>
    </row>
    <row r="538">
      <c r="A538" s="1" t="s">
        <v>11</v>
      </c>
      <c r="B538" s="1" t="s">
        <v>548</v>
      </c>
      <c r="C538" s="1" t="s">
        <v>13</v>
      </c>
      <c r="D538" s="2">
        <v>46007.46267361111</v>
      </c>
      <c r="E538" s="3">
        <v>46007.0</v>
      </c>
      <c r="F538" s="3" t="str">
        <f t="shared" si="1"/>
        <v>December-2025</v>
      </c>
      <c r="G538" s="1">
        <v>11.0</v>
      </c>
      <c r="H538" s="1">
        <v>30700.0</v>
      </c>
      <c r="I538" s="1">
        <v>6171.0</v>
      </c>
      <c r="J538" s="1">
        <v>8018.0</v>
      </c>
      <c r="K538" s="1">
        <v>16511.0</v>
      </c>
    </row>
    <row r="539">
      <c r="A539" s="1" t="s">
        <v>11</v>
      </c>
      <c r="B539" s="1" t="s">
        <v>549</v>
      </c>
      <c r="C539" s="1" t="s">
        <v>13</v>
      </c>
      <c r="D539" s="2">
        <v>46007.48479166667</v>
      </c>
      <c r="E539" s="3">
        <v>46007.0</v>
      </c>
      <c r="F539" s="3" t="str">
        <f t="shared" si="1"/>
        <v>December-2025</v>
      </c>
      <c r="G539" s="1">
        <v>11.0</v>
      </c>
      <c r="H539" s="1">
        <v>22900.0</v>
      </c>
      <c r="I539" s="1">
        <v>4603.0</v>
      </c>
      <c r="J539" s="1">
        <v>4489.0</v>
      </c>
      <c r="K539" s="1">
        <v>13808.0</v>
      </c>
    </row>
    <row r="540">
      <c r="A540" s="1" t="s">
        <v>11</v>
      </c>
      <c r="B540" s="1" t="s">
        <v>550</v>
      </c>
      <c r="C540" s="1" t="s">
        <v>13</v>
      </c>
      <c r="D540" s="2">
        <v>46007.66405092592</v>
      </c>
      <c r="E540" s="3">
        <v>46007.0</v>
      </c>
      <c r="F540" s="3" t="str">
        <f t="shared" si="1"/>
        <v>December-2025</v>
      </c>
      <c r="G540" s="1">
        <v>15.0</v>
      </c>
      <c r="H540" s="1">
        <v>20700.0</v>
      </c>
      <c r="I540" s="1">
        <v>5175.0</v>
      </c>
      <c r="J540" s="1">
        <v>0.0</v>
      </c>
      <c r="K540" s="1">
        <v>15525.0</v>
      </c>
    </row>
    <row r="541">
      <c r="A541" s="1" t="s">
        <v>11</v>
      </c>
      <c r="B541" s="1" t="s">
        <v>551</v>
      </c>
      <c r="C541" s="1" t="s">
        <v>13</v>
      </c>
      <c r="D541" s="2">
        <v>46007.77858796297</v>
      </c>
      <c r="E541" s="3">
        <v>46007.0</v>
      </c>
      <c r="F541" s="3" t="str">
        <f t="shared" si="1"/>
        <v>December-2025</v>
      </c>
      <c r="G541" s="1">
        <v>18.0</v>
      </c>
      <c r="H541" s="1">
        <v>31300.0</v>
      </c>
      <c r="I541" s="1">
        <v>6292.0</v>
      </c>
      <c r="J541" s="1">
        <v>8135.0</v>
      </c>
      <c r="K541" s="1">
        <v>16873.0</v>
      </c>
    </row>
    <row r="542">
      <c r="A542" s="1" t="s">
        <v>11</v>
      </c>
      <c r="B542" s="1" t="s">
        <v>552</v>
      </c>
      <c r="C542" s="1" t="s">
        <v>13</v>
      </c>
      <c r="D542" s="2">
        <v>46007.788506944446</v>
      </c>
      <c r="E542" s="3">
        <v>46007.0</v>
      </c>
      <c r="F542" s="3" t="str">
        <f t="shared" si="1"/>
        <v>December-2025</v>
      </c>
      <c r="G542" s="1">
        <v>18.0</v>
      </c>
      <c r="H542" s="1">
        <v>17900.0</v>
      </c>
      <c r="I542" s="1">
        <v>3379.0</v>
      </c>
      <c r="J542" s="1">
        <v>4386.0</v>
      </c>
      <c r="K542" s="1">
        <v>10135.0</v>
      </c>
    </row>
    <row r="543">
      <c r="A543" s="1" t="s">
        <v>11</v>
      </c>
      <c r="B543" s="1" t="s">
        <v>553</v>
      </c>
      <c r="C543" s="1" t="s">
        <v>13</v>
      </c>
      <c r="D543" s="2">
        <v>46007.794965277775</v>
      </c>
      <c r="E543" s="3">
        <v>46007.0</v>
      </c>
      <c r="F543" s="3" t="str">
        <f t="shared" si="1"/>
        <v>December-2025</v>
      </c>
      <c r="G543" s="1">
        <v>19.0</v>
      </c>
      <c r="H543" s="1">
        <v>23400.0</v>
      </c>
      <c r="I543" s="1">
        <v>4704.0</v>
      </c>
      <c r="J543" s="1">
        <v>4587.0</v>
      </c>
      <c r="K543" s="1">
        <v>14109.0</v>
      </c>
    </row>
    <row r="544">
      <c r="A544" s="1" t="s">
        <v>11</v>
      </c>
      <c r="B544" s="1" t="s">
        <v>554</v>
      </c>
      <c r="C544" s="1" t="s">
        <v>13</v>
      </c>
      <c r="D544" s="2">
        <v>46007.81680555556</v>
      </c>
      <c r="E544" s="3">
        <v>46007.0</v>
      </c>
      <c r="F544" s="3" t="str">
        <f t="shared" si="1"/>
        <v>December-2025</v>
      </c>
      <c r="G544" s="1">
        <v>19.0</v>
      </c>
      <c r="H544" s="1">
        <v>27500.0</v>
      </c>
      <c r="I544" s="1">
        <v>5650.0</v>
      </c>
      <c r="J544" s="1">
        <v>4900.0</v>
      </c>
      <c r="K544" s="1">
        <v>16950.0</v>
      </c>
    </row>
    <row r="545">
      <c r="A545" s="1" t="s">
        <v>11</v>
      </c>
      <c r="B545" s="1" t="s">
        <v>555</v>
      </c>
      <c r="C545" s="1" t="s">
        <v>13</v>
      </c>
      <c r="D545" s="2">
        <v>46007.830046296294</v>
      </c>
      <c r="E545" s="3">
        <v>46007.0</v>
      </c>
      <c r="F545" s="3" t="str">
        <f t="shared" si="1"/>
        <v>December-2025</v>
      </c>
      <c r="G545" s="1">
        <v>19.0</v>
      </c>
      <c r="H545" s="1">
        <v>64800.0</v>
      </c>
      <c r="I545" s="1">
        <v>12855.0</v>
      </c>
      <c r="J545" s="1">
        <v>17382.0</v>
      </c>
      <c r="K545" s="1">
        <v>34563.0</v>
      </c>
    </row>
    <row r="546">
      <c r="A546" s="1" t="s">
        <v>11</v>
      </c>
      <c r="B546" s="1" t="s">
        <v>556</v>
      </c>
      <c r="C546" s="1" t="s">
        <v>13</v>
      </c>
      <c r="D546" s="2">
        <v>46007.84380787037</v>
      </c>
      <c r="E546" s="3">
        <v>46007.0</v>
      </c>
      <c r="F546" s="3" t="str">
        <f t="shared" si="1"/>
        <v>December-2025</v>
      </c>
      <c r="G546" s="1">
        <v>20.0</v>
      </c>
      <c r="H546" s="1">
        <v>37300.0</v>
      </c>
      <c r="I546" s="1">
        <v>7498.0</v>
      </c>
      <c r="J546" s="1">
        <v>9311.0</v>
      </c>
      <c r="K546" s="1">
        <v>20491.0</v>
      </c>
    </row>
    <row r="547">
      <c r="A547" s="1" t="s">
        <v>11</v>
      </c>
      <c r="B547" s="1" t="s">
        <v>557</v>
      </c>
      <c r="C547" s="1" t="s">
        <v>13</v>
      </c>
      <c r="D547" s="2">
        <v>46007.862962962965</v>
      </c>
      <c r="E547" s="3">
        <v>46007.0</v>
      </c>
      <c r="F547" s="3" t="str">
        <f t="shared" si="1"/>
        <v>December-2025</v>
      </c>
      <c r="G547" s="1">
        <v>20.0</v>
      </c>
      <c r="H547" s="1">
        <v>29400.0</v>
      </c>
      <c r="I547" s="1">
        <v>6125.0</v>
      </c>
      <c r="J547" s="1">
        <v>4900.0</v>
      </c>
      <c r="K547" s="1">
        <v>18375.0</v>
      </c>
    </row>
    <row r="548">
      <c r="A548" s="1" t="s">
        <v>11</v>
      </c>
      <c r="B548" s="1" t="s">
        <v>558</v>
      </c>
      <c r="C548" s="1" t="s">
        <v>13</v>
      </c>
      <c r="D548" s="2">
        <v>46007.919444444444</v>
      </c>
      <c r="E548" s="3">
        <v>46007.0</v>
      </c>
      <c r="F548" s="3" t="str">
        <f t="shared" si="1"/>
        <v>December-2025</v>
      </c>
      <c r="G548" s="1">
        <v>22.0</v>
      </c>
      <c r="H548" s="1">
        <v>22900.0</v>
      </c>
      <c r="I548" s="1">
        <v>4603.0</v>
      </c>
      <c r="J548" s="1">
        <v>4489.0</v>
      </c>
      <c r="K548" s="1">
        <v>13808.0</v>
      </c>
    </row>
    <row r="549">
      <c r="A549" s="1" t="s">
        <v>11</v>
      </c>
      <c r="B549" s="1" t="s">
        <v>559</v>
      </c>
      <c r="C549" s="1" t="s">
        <v>13</v>
      </c>
      <c r="D549" s="2">
        <v>46008.52303240741</v>
      </c>
      <c r="E549" s="3">
        <v>46008.0</v>
      </c>
      <c r="F549" s="3" t="str">
        <f t="shared" si="1"/>
        <v>December-2025</v>
      </c>
      <c r="G549" s="1">
        <v>12.0</v>
      </c>
      <c r="H549" s="1">
        <v>27500.0</v>
      </c>
      <c r="I549" s="1">
        <v>5650.0</v>
      </c>
      <c r="J549" s="1">
        <v>4900.0</v>
      </c>
      <c r="K549" s="1">
        <v>16950.0</v>
      </c>
    </row>
    <row r="550">
      <c r="A550" s="1" t="s">
        <v>11</v>
      </c>
      <c r="B550" s="1" t="s">
        <v>560</v>
      </c>
      <c r="C550" s="1" t="s">
        <v>13</v>
      </c>
      <c r="D550" s="2">
        <v>46008.61635416667</v>
      </c>
      <c r="E550" s="3">
        <v>46008.0</v>
      </c>
      <c r="F550" s="3" t="str">
        <f t="shared" si="1"/>
        <v>December-2025</v>
      </c>
      <c r="G550" s="1">
        <v>14.0</v>
      </c>
      <c r="H550" s="1">
        <v>32700.0</v>
      </c>
      <c r="I550" s="1">
        <v>6573.0</v>
      </c>
      <c r="J550" s="1">
        <v>8410.0</v>
      </c>
      <c r="K550" s="1">
        <v>17717.0</v>
      </c>
    </row>
    <row r="551">
      <c r="A551" s="1" t="s">
        <v>11</v>
      </c>
      <c r="B551" s="1" t="s">
        <v>561</v>
      </c>
      <c r="C551" s="1" t="s">
        <v>13</v>
      </c>
      <c r="D551" s="2">
        <v>46008.66662037037</v>
      </c>
      <c r="E551" s="3">
        <v>46008.0</v>
      </c>
      <c r="F551" s="3" t="str">
        <f t="shared" si="1"/>
        <v>December-2025</v>
      </c>
      <c r="G551" s="1">
        <v>15.0</v>
      </c>
      <c r="H551" s="1">
        <v>37400.0</v>
      </c>
      <c r="I551" s="1">
        <v>7518.0</v>
      </c>
      <c r="J551" s="1">
        <v>9331.0</v>
      </c>
      <c r="K551" s="1">
        <v>20551.0</v>
      </c>
    </row>
    <row r="552">
      <c r="A552" s="1" t="s">
        <v>11</v>
      </c>
      <c r="B552" s="1" t="s">
        <v>562</v>
      </c>
      <c r="C552" s="1" t="s">
        <v>13</v>
      </c>
      <c r="D552" s="2">
        <v>46008.69211805556</v>
      </c>
      <c r="E552" s="3">
        <v>46008.0</v>
      </c>
      <c r="F552" s="3" t="str">
        <f t="shared" si="1"/>
        <v>December-2025</v>
      </c>
      <c r="G552" s="1">
        <v>16.0</v>
      </c>
      <c r="H552" s="1">
        <v>65400.0</v>
      </c>
      <c r="I552" s="1">
        <v>12974.0</v>
      </c>
      <c r="J552" s="1">
        <v>17506.0</v>
      </c>
      <c r="K552" s="1">
        <v>34920.0</v>
      </c>
    </row>
    <row r="553">
      <c r="A553" s="1" t="s">
        <v>11</v>
      </c>
      <c r="B553" s="1" t="s">
        <v>563</v>
      </c>
      <c r="C553" s="1" t="s">
        <v>13</v>
      </c>
      <c r="D553" s="2">
        <v>46008.70431712963</v>
      </c>
      <c r="E553" s="3">
        <v>46008.0</v>
      </c>
      <c r="F553" s="3" t="str">
        <f t="shared" si="1"/>
        <v>December-2025</v>
      </c>
      <c r="G553" s="1">
        <v>16.0</v>
      </c>
      <c r="H553" s="1">
        <v>44800.0</v>
      </c>
      <c r="I553" s="1">
        <v>9363.0</v>
      </c>
      <c r="J553" s="1">
        <v>10350.0</v>
      </c>
      <c r="K553" s="1">
        <v>25087.0</v>
      </c>
    </row>
    <row r="554">
      <c r="A554" s="1" t="s">
        <v>11</v>
      </c>
      <c r="B554" s="1" t="s">
        <v>564</v>
      </c>
      <c r="C554" s="1" t="s">
        <v>13</v>
      </c>
      <c r="D554" s="2">
        <v>46008.72646990741</v>
      </c>
      <c r="E554" s="3">
        <v>46008.0</v>
      </c>
      <c r="F554" s="3" t="str">
        <f t="shared" si="1"/>
        <v>December-2025</v>
      </c>
      <c r="G554" s="1">
        <v>17.0</v>
      </c>
      <c r="H554" s="1">
        <v>45000.0</v>
      </c>
      <c r="I554" s="1">
        <v>9413.0</v>
      </c>
      <c r="J554" s="1">
        <v>10350.0</v>
      </c>
      <c r="K554" s="1">
        <v>25237.0</v>
      </c>
    </row>
    <row r="555">
      <c r="A555" s="1" t="s">
        <v>11</v>
      </c>
      <c r="B555" s="1" t="s">
        <v>565</v>
      </c>
      <c r="C555" s="1" t="s">
        <v>13</v>
      </c>
      <c r="D555" s="2">
        <v>46008.7434375</v>
      </c>
      <c r="E555" s="3">
        <v>46008.0</v>
      </c>
      <c r="F555" s="3" t="str">
        <f t="shared" si="1"/>
        <v>December-2025</v>
      </c>
      <c r="G555" s="1">
        <v>17.0</v>
      </c>
      <c r="H555" s="1">
        <v>35800.0</v>
      </c>
      <c r="I555" s="1">
        <v>7196.0</v>
      </c>
      <c r="J555" s="1">
        <v>9017.0</v>
      </c>
      <c r="K555" s="1">
        <v>19587.0</v>
      </c>
    </row>
    <row r="556">
      <c r="A556" s="1" t="s">
        <v>11</v>
      </c>
      <c r="B556" s="1" t="s">
        <v>566</v>
      </c>
      <c r="C556" s="1" t="s">
        <v>13</v>
      </c>
      <c r="D556" s="2">
        <v>46008.78902777778</v>
      </c>
      <c r="E556" s="3">
        <v>46008.0</v>
      </c>
      <c r="F556" s="3" t="str">
        <f t="shared" si="1"/>
        <v>December-2025</v>
      </c>
      <c r="G556" s="1">
        <v>18.0</v>
      </c>
      <c r="H556" s="1">
        <v>17700.0</v>
      </c>
      <c r="I556" s="1">
        <v>3558.0</v>
      </c>
      <c r="J556" s="1">
        <v>3470.0</v>
      </c>
      <c r="K556" s="1">
        <v>10672.0</v>
      </c>
    </row>
    <row r="557">
      <c r="A557" s="1" t="s">
        <v>11</v>
      </c>
      <c r="B557" s="1" t="s">
        <v>567</v>
      </c>
      <c r="C557" s="1" t="s">
        <v>13</v>
      </c>
      <c r="D557" s="2">
        <v>46008.89494212963</v>
      </c>
      <c r="E557" s="3">
        <v>46008.0</v>
      </c>
      <c r="F557" s="3" t="str">
        <f t="shared" si="1"/>
        <v>December-2025</v>
      </c>
      <c r="G557" s="1">
        <v>21.0</v>
      </c>
      <c r="H557" s="1">
        <v>24800.0</v>
      </c>
      <c r="I557" s="1">
        <v>4975.0</v>
      </c>
      <c r="J557" s="1">
        <v>4900.0</v>
      </c>
      <c r="K557" s="1">
        <v>14925.0</v>
      </c>
    </row>
    <row r="558">
      <c r="A558" s="1" t="s">
        <v>11</v>
      </c>
      <c r="B558" s="1" t="s">
        <v>568</v>
      </c>
      <c r="C558" s="1" t="s">
        <v>13</v>
      </c>
      <c r="D558" s="2">
        <v>46008.89579861111</v>
      </c>
      <c r="E558" s="3">
        <v>46008.0</v>
      </c>
      <c r="F558" s="3" t="str">
        <f t="shared" si="1"/>
        <v>December-2025</v>
      </c>
      <c r="G558" s="1">
        <v>21.0</v>
      </c>
      <c r="H558" s="1">
        <v>17900.0</v>
      </c>
      <c r="I558" s="1">
        <v>3598.0</v>
      </c>
      <c r="J558" s="1">
        <v>3509.0</v>
      </c>
      <c r="K558" s="1">
        <v>10793.0</v>
      </c>
    </row>
    <row r="559">
      <c r="A559" s="1" t="s">
        <v>11</v>
      </c>
      <c r="B559" s="1" t="s">
        <v>569</v>
      </c>
      <c r="C559" s="1" t="s">
        <v>13</v>
      </c>
      <c r="D559" s="2">
        <v>46008.92527777778</v>
      </c>
      <c r="E559" s="3">
        <v>46008.0</v>
      </c>
      <c r="F559" s="3" t="str">
        <f t="shared" si="1"/>
        <v>December-2025</v>
      </c>
      <c r="G559" s="1">
        <v>22.0</v>
      </c>
      <c r="H559" s="1">
        <v>30700.0</v>
      </c>
      <c r="I559" s="1">
        <v>6171.0</v>
      </c>
      <c r="J559" s="1">
        <v>8018.0</v>
      </c>
      <c r="K559" s="1">
        <v>16511.0</v>
      </c>
    </row>
    <row r="560">
      <c r="A560" s="1" t="s">
        <v>11</v>
      </c>
      <c r="B560" s="1" t="s">
        <v>570</v>
      </c>
      <c r="C560" s="1" t="s">
        <v>13</v>
      </c>
      <c r="D560" s="2">
        <v>46008.95061342593</v>
      </c>
      <c r="E560" s="3">
        <v>46008.0</v>
      </c>
      <c r="F560" s="3" t="str">
        <f t="shared" si="1"/>
        <v>December-2025</v>
      </c>
      <c r="G560" s="1">
        <v>22.0</v>
      </c>
      <c r="H560" s="1">
        <v>26500.0</v>
      </c>
      <c r="I560" s="1">
        <v>5400.0</v>
      </c>
      <c r="J560" s="1">
        <v>4900.0</v>
      </c>
      <c r="K560" s="1">
        <v>16200.0</v>
      </c>
    </row>
    <row r="561">
      <c r="A561" s="1" t="s">
        <v>11</v>
      </c>
      <c r="B561" s="1" t="s">
        <v>571</v>
      </c>
      <c r="C561" s="1" t="s">
        <v>13</v>
      </c>
      <c r="D561" s="2">
        <v>46009.46913194445</v>
      </c>
      <c r="E561" s="3">
        <v>46009.0</v>
      </c>
      <c r="F561" s="3" t="str">
        <f t="shared" si="1"/>
        <v>December-2025</v>
      </c>
      <c r="G561" s="1">
        <v>11.0</v>
      </c>
      <c r="H561" s="1">
        <v>23400.0</v>
      </c>
      <c r="I561" s="1">
        <v>4704.0</v>
      </c>
      <c r="J561" s="1">
        <v>4587.0</v>
      </c>
      <c r="K561" s="1">
        <v>14109.0</v>
      </c>
    </row>
    <row r="562">
      <c r="A562" s="1" t="s">
        <v>11</v>
      </c>
      <c r="B562" s="1" t="s">
        <v>572</v>
      </c>
      <c r="C562" s="1" t="s">
        <v>13</v>
      </c>
      <c r="D562" s="2">
        <v>46009.47883101852</v>
      </c>
      <c r="E562" s="3">
        <v>46009.0</v>
      </c>
      <c r="F562" s="3" t="str">
        <f t="shared" si="1"/>
        <v>December-2025</v>
      </c>
      <c r="G562" s="1">
        <v>11.0</v>
      </c>
      <c r="H562" s="1">
        <v>41500.0</v>
      </c>
      <c r="I562" s="1">
        <v>8538.0</v>
      </c>
      <c r="J562" s="1">
        <v>7350.0</v>
      </c>
      <c r="K562" s="1">
        <v>25612.0</v>
      </c>
    </row>
    <row r="563">
      <c r="A563" s="1" t="s">
        <v>11</v>
      </c>
      <c r="B563" s="1" t="s">
        <v>573</v>
      </c>
      <c r="C563" s="1" t="s">
        <v>13</v>
      </c>
      <c r="D563" s="2">
        <v>46009.504016203704</v>
      </c>
      <c r="E563" s="3">
        <v>46009.0</v>
      </c>
      <c r="F563" s="3" t="str">
        <f t="shared" si="1"/>
        <v>December-2025</v>
      </c>
      <c r="G563" s="1">
        <v>12.0</v>
      </c>
      <c r="H563" s="1">
        <v>22900.0</v>
      </c>
      <c r="I563" s="1">
        <v>4500.0</v>
      </c>
      <c r="J563" s="1">
        <v>4900.0</v>
      </c>
      <c r="K563" s="1">
        <v>13500.0</v>
      </c>
    </row>
    <row r="564">
      <c r="A564" s="1" t="s">
        <v>11</v>
      </c>
      <c r="B564" s="1" t="s">
        <v>574</v>
      </c>
      <c r="C564" s="1" t="s">
        <v>13</v>
      </c>
      <c r="D564" s="2">
        <v>46009.671631944446</v>
      </c>
      <c r="E564" s="3">
        <v>46009.0</v>
      </c>
      <c r="F564" s="3" t="str">
        <f t="shared" si="1"/>
        <v>December-2025</v>
      </c>
      <c r="G564" s="1">
        <v>16.0</v>
      </c>
      <c r="H564" s="1">
        <v>57200.0</v>
      </c>
      <c r="I564" s="1">
        <v>11347.0</v>
      </c>
      <c r="J564" s="1">
        <v>15812.0</v>
      </c>
      <c r="K564" s="1">
        <v>30041.0</v>
      </c>
    </row>
    <row r="565">
      <c r="A565" s="1" t="s">
        <v>11</v>
      </c>
      <c r="B565" s="1" t="s">
        <v>575</v>
      </c>
      <c r="C565" s="1" t="s">
        <v>13</v>
      </c>
      <c r="D565" s="2">
        <v>46009.83584490741</v>
      </c>
      <c r="E565" s="3">
        <v>46009.0</v>
      </c>
      <c r="F565" s="3" t="str">
        <f t="shared" si="1"/>
        <v>December-2025</v>
      </c>
      <c r="G565" s="1">
        <v>20.0</v>
      </c>
      <c r="H565" s="1">
        <v>22900.0</v>
      </c>
      <c r="I565" s="1">
        <v>4603.0</v>
      </c>
      <c r="J565" s="1">
        <v>4489.0</v>
      </c>
      <c r="K565" s="1">
        <v>13808.0</v>
      </c>
    </row>
    <row r="566">
      <c r="A566" s="1" t="s">
        <v>11</v>
      </c>
      <c r="B566" s="1" t="s">
        <v>576</v>
      </c>
      <c r="C566" s="1" t="s">
        <v>13</v>
      </c>
      <c r="D566" s="2">
        <v>46009.86083333333</v>
      </c>
      <c r="E566" s="3">
        <v>46009.0</v>
      </c>
      <c r="F566" s="3" t="str">
        <f t="shared" si="1"/>
        <v>December-2025</v>
      </c>
      <c r="G566" s="1">
        <v>20.0</v>
      </c>
      <c r="H566" s="1">
        <v>33100.0</v>
      </c>
      <c r="I566" s="1">
        <v>7050.0</v>
      </c>
      <c r="J566" s="1">
        <v>4900.0</v>
      </c>
      <c r="K566" s="1">
        <v>21150.0</v>
      </c>
    </row>
    <row r="567">
      <c r="A567" s="1" t="s">
        <v>11</v>
      </c>
      <c r="B567" s="1" t="s">
        <v>577</v>
      </c>
      <c r="C567" s="1" t="s">
        <v>13</v>
      </c>
      <c r="D567" s="2">
        <v>46009.92922453704</v>
      </c>
      <c r="E567" s="3">
        <v>46009.0</v>
      </c>
      <c r="F567" s="3" t="str">
        <f t="shared" si="1"/>
        <v>December-2025</v>
      </c>
      <c r="G567" s="1">
        <v>22.0</v>
      </c>
      <c r="H567" s="1">
        <v>40400.0</v>
      </c>
      <c r="I567" s="1">
        <v>8263.0</v>
      </c>
      <c r="J567" s="1">
        <v>10350.0</v>
      </c>
      <c r="K567" s="1">
        <v>21787.0</v>
      </c>
    </row>
    <row r="568">
      <c r="A568" s="1" t="s">
        <v>11</v>
      </c>
      <c r="B568" s="1" t="s">
        <v>578</v>
      </c>
      <c r="C568" s="1" t="s">
        <v>13</v>
      </c>
      <c r="D568" s="2">
        <v>46010.473969907405</v>
      </c>
      <c r="E568" s="3">
        <v>46010.0</v>
      </c>
      <c r="F568" s="3" t="str">
        <f t="shared" si="1"/>
        <v>December-2025</v>
      </c>
      <c r="G568" s="1">
        <v>11.0</v>
      </c>
      <c r="H568" s="1">
        <v>45800.0</v>
      </c>
      <c r="I568" s="1">
        <v>9613.0</v>
      </c>
      <c r="J568" s="1">
        <v>10350.0</v>
      </c>
      <c r="K568" s="1">
        <v>25837.0</v>
      </c>
    </row>
    <row r="569">
      <c r="A569" s="1" t="s">
        <v>11</v>
      </c>
      <c r="B569" s="1" t="s">
        <v>579</v>
      </c>
      <c r="C569" s="1" t="s">
        <v>13</v>
      </c>
      <c r="D569" s="2">
        <v>46010.479537037034</v>
      </c>
      <c r="E569" s="3">
        <v>46010.0</v>
      </c>
      <c r="F569" s="3" t="str">
        <f t="shared" si="1"/>
        <v>December-2025</v>
      </c>
      <c r="G569" s="1">
        <v>11.0</v>
      </c>
      <c r="H569" s="1">
        <v>33800.0</v>
      </c>
      <c r="I569" s="1">
        <v>6794.0</v>
      </c>
      <c r="J569" s="1">
        <v>8625.0</v>
      </c>
      <c r="K569" s="1">
        <v>18381.0</v>
      </c>
    </row>
    <row r="570">
      <c r="A570" s="1" t="s">
        <v>11</v>
      </c>
      <c r="B570" s="1" t="s">
        <v>580</v>
      </c>
      <c r="C570" s="1" t="s">
        <v>13</v>
      </c>
      <c r="D570" s="2">
        <v>46010.49252314815</v>
      </c>
      <c r="E570" s="3">
        <v>46010.0</v>
      </c>
      <c r="F570" s="3" t="str">
        <f t="shared" si="1"/>
        <v>December-2025</v>
      </c>
      <c r="G570" s="1">
        <v>11.0</v>
      </c>
      <c r="H570" s="1">
        <v>22500.0</v>
      </c>
      <c r="I570" s="1">
        <v>4523.0</v>
      </c>
      <c r="J570" s="1">
        <v>4410.0</v>
      </c>
      <c r="K570" s="1">
        <v>13567.0</v>
      </c>
    </row>
    <row r="571">
      <c r="A571" s="1" t="s">
        <v>11</v>
      </c>
      <c r="B571" s="1" t="s">
        <v>581</v>
      </c>
      <c r="C571" s="1" t="s">
        <v>13</v>
      </c>
      <c r="D571" s="2">
        <v>46010.51049768519</v>
      </c>
      <c r="E571" s="3">
        <v>46010.0</v>
      </c>
      <c r="F571" s="3" t="str">
        <f t="shared" si="1"/>
        <v>December-2025</v>
      </c>
      <c r="G571" s="1">
        <v>12.0</v>
      </c>
      <c r="H571" s="1">
        <v>19800.0</v>
      </c>
      <c r="I571" s="1">
        <v>3980.0</v>
      </c>
      <c r="J571" s="1">
        <v>3881.0</v>
      </c>
      <c r="K571" s="1">
        <v>11939.0</v>
      </c>
    </row>
    <row r="572">
      <c r="A572" s="1" t="s">
        <v>11</v>
      </c>
      <c r="B572" s="1" t="s">
        <v>582</v>
      </c>
      <c r="C572" s="1" t="s">
        <v>13</v>
      </c>
      <c r="D572" s="2">
        <v>46010.5937962963</v>
      </c>
      <c r="E572" s="3">
        <v>46010.0</v>
      </c>
      <c r="F572" s="3" t="str">
        <f t="shared" si="1"/>
        <v>December-2025</v>
      </c>
      <c r="G572" s="1">
        <v>14.0</v>
      </c>
      <c r="H572" s="1">
        <v>32700.0</v>
      </c>
      <c r="I572" s="1">
        <v>6573.0</v>
      </c>
      <c r="J572" s="1">
        <v>8410.0</v>
      </c>
      <c r="K572" s="1">
        <v>17717.0</v>
      </c>
    </row>
    <row r="573">
      <c r="A573" s="1" t="s">
        <v>11</v>
      </c>
      <c r="B573" s="1" t="s">
        <v>583</v>
      </c>
      <c r="C573" s="1" t="s">
        <v>13</v>
      </c>
      <c r="D573" s="2">
        <v>46010.63527777778</v>
      </c>
      <c r="E573" s="3">
        <v>46010.0</v>
      </c>
      <c r="F573" s="3" t="str">
        <f t="shared" si="1"/>
        <v>December-2025</v>
      </c>
      <c r="G573" s="1">
        <v>15.0</v>
      </c>
      <c r="H573" s="1">
        <v>45400.0</v>
      </c>
      <c r="I573" s="1">
        <v>9513.0</v>
      </c>
      <c r="J573" s="1">
        <v>10350.0</v>
      </c>
      <c r="K573" s="1">
        <v>25537.0</v>
      </c>
    </row>
    <row r="574">
      <c r="A574" s="1" t="s">
        <v>11</v>
      </c>
      <c r="B574" s="1" t="s">
        <v>584</v>
      </c>
      <c r="C574" s="1" t="s">
        <v>13</v>
      </c>
      <c r="D574" s="2">
        <v>46010.63858796296</v>
      </c>
      <c r="E574" s="3">
        <v>46010.0</v>
      </c>
      <c r="F574" s="3" t="str">
        <f t="shared" si="1"/>
        <v>December-2025</v>
      </c>
      <c r="G574" s="1">
        <v>15.0</v>
      </c>
      <c r="H574" s="1">
        <v>22900.0</v>
      </c>
      <c r="I574" s="1">
        <v>5725.0</v>
      </c>
      <c r="J574" s="1">
        <v>0.0</v>
      </c>
      <c r="K574" s="1">
        <v>17175.0</v>
      </c>
    </row>
    <row r="575">
      <c r="A575" s="1" t="s">
        <v>11</v>
      </c>
      <c r="B575" s="1" t="s">
        <v>585</v>
      </c>
      <c r="C575" s="1" t="s">
        <v>13</v>
      </c>
      <c r="D575" s="2">
        <v>46010.66258101852</v>
      </c>
      <c r="E575" s="3">
        <v>46010.0</v>
      </c>
      <c r="F575" s="3" t="str">
        <f t="shared" si="1"/>
        <v>December-2025</v>
      </c>
      <c r="G575" s="1">
        <v>15.0</v>
      </c>
      <c r="H575" s="1">
        <v>17900.0</v>
      </c>
      <c r="I575" s="1">
        <v>4475.0</v>
      </c>
      <c r="J575" s="1">
        <v>0.0</v>
      </c>
      <c r="K575" s="1">
        <v>13425.0</v>
      </c>
    </row>
    <row r="576">
      <c r="A576" s="1" t="s">
        <v>11</v>
      </c>
      <c r="B576" s="1" t="s">
        <v>586</v>
      </c>
      <c r="C576" s="1" t="s">
        <v>13</v>
      </c>
      <c r="D576" s="2">
        <v>46010.74046296296</v>
      </c>
      <c r="E576" s="3">
        <v>46010.0</v>
      </c>
      <c r="F576" s="3" t="str">
        <f t="shared" si="1"/>
        <v>December-2025</v>
      </c>
      <c r="G576" s="1">
        <v>17.0</v>
      </c>
      <c r="H576" s="1">
        <v>20800.0</v>
      </c>
      <c r="I576" s="1">
        <v>4181.0</v>
      </c>
      <c r="J576" s="1">
        <v>4077.0</v>
      </c>
      <c r="K576" s="1">
        <v>12542.0</v>
      </c>
    </row>
    <row r="577">
      <c r="A577" s="1" t="s">
        <v>11</v>
      </c>
      <c r="B577" s="1" t="s">
        <v>587</v>
      </c>
      <c r="C577" s="1" t="s">
        <v>13</v>
      </c>
      <c r="D577" s="2">
        <v>46010.74915509259</v>
      </c>
      <c r="E577" s="3">
        <v>46010.0</v>
      </c>
      <c r="F577" s="3" t="str">
        <f t="shared" si="1"/>
        <v>December-2025</v>
      </c>
      <c r="G577" s="1">
        <v>17.0</v>
      </c>
      <c r="H577" s="1">
        <v>33400.0</v>
      </c>
      <c r="I577" s="1">
        <v>6714.0</v>
      </c>
      <c r="J577" s="1">
        <v>8547.0</v>
      </c>
      <c r="K577" s="1">
        <v>18139.0</v>
      </c>
    </row>
    <row r="578">
      <c r="A578" s="1" t="s">
        <v>11</v>
      </c>
      <c r="B578" s="1" t="s">
        <v>588</v>
      </c>
      <c r="C578" s="1" t="s">
        <v>13</v>
      </c>
      <c r="D578" s="2">
        <v>46010.79431712963</v>
      </c>
      <c r="E578" s="3">
        <v>46010.0</v>
      </c>
      <c r="F578" s="3" t="str">
        <f t="shared" si="1"/>
        <v>December-2025</v>
      </c>
      <c r="G578" s="1">
        <v>19.0</v>
      </c>
      <c r="H578" s="1">
        <v>22900.0</v>
      </c>
      <c r="I578" s="1">
        <v>5725.0</v>
      </c>
      <c r="J578" s="1">
        <v>0.0</v>
      </c>
      <c r="K578" s="1">
        <v>17175.0</v>
      </c>
    </row>
    <row r="579">
      <c r="A579" s="1" t="s">
        <v>11</v>
      </c>
      <c r="B579" s="1" t="s">
        <v>589</v>
      </c>
      <c r="C579" s="1" t="s">
        <v>13</v>
      </c>
      <c r="D579" s="2">
        <v>46010.81989583333</v>
      </c>
      <c r="E579" s="3">
        <v>46010.0</v>
      </c>
      <c r="F579" s="3" t="str">
        <f t="shared" si="1"/>
        <v>December-2025</v>
      </c>
      <c r="G579" s="1">
        <v>19.0</v>
      </c>
      <c r="H579" s="1">
        <v>55000.0</v>
      </c>
      <c r="I579" s="1">
        <v>10911.0</v>
      </c>
      <c r="J579" s="1">
        <v>15358.0</v>
      </c>
      <c r="K579" s="1">
        <v>28731.0</v>
      </c>
    </row>
    <row r="580">
      <c r="A580" s="1" t="s">
        <v>11</v>
      </c>
      <c r="B580" s="1" t="s">
        <v>590</v>
      </c>
      <c r="C580" s="1" t="s">
        <v>13</v>
      </c>
      <c r="D580" s="2">
        <v>46010.86703703704</v>
      </c>
      <c r="E580" s="3">
        <v>46010.0</v>
      </c>
      <c r="F580" s="3" t="str">
        <f t="shared" si="1"/>
        <v>December-2025</v>
      </c>
      <c r="G580" s="1">
        <v>20.0</v>
      </c>
      <c r="H580" s="1">
        <v>22900.0</v>
      </c>
      <c r="I580" s="1">
        <v>4603.0</v>
      </c>
      <c r="J580" s="1">
        <v>4489.0</v>
      </c>
      <c r="K580" s="1">
        <v>13808.0</v>
      </c>
    </row>
    <row r="581">
      <c r="A581" s="1" t="s">
        <v>11</v>
      </c>
      <c r="B581" s="1" t="s">
        <v>591</v>
      </c>
      <c r="C581" s="1" t="s">
        <v>13</v>
      </c>
      <c r="D581" s="2">
        <v>46010.86997685185</v>
      </c>
      <c r="E581" s="3">
        <v>46010.0</v>
      </c>
      <c r="F581" s="3" t="str">
        <f t="shared" si="1"/>
        <v>December-2025</v>
      </c>
      <c r="G581" s="1">
        <v>20.0</v>
      </c>
      <c r="H581" s="1">
        <v>21800.0</v>
      </c>
      <c r="I581" s="1">
        <v>4382.0</v>
      </c>
      <c r="J581" s="1">
        <v>4273.0</v>
      </c>
      <c r="K581" s="1">
        <v>13145.0</v>
      </c>
    </row>
    <row r="582">
      <c r="A582" s="1" t="s">
        <v>11</v>
      </c>
      <c r="B582" s="1" t="s">
        <v>592</v>
      </c>
      <c r="C582" s="1" t="s">
        <v>13</v>
      </c>
      <c r="D582" s="2">
        <v>46010.87226851852</v>
      </c>
      <c r="E582" s="3">
        <v>46010.0</v>
      </c>
      <c r="F582" s="3" t="str">
        <f t="shared" si="1"/>
        <v>December-2025</v>
      </c>
      <c r="G582" s="1">
        <v>20.0</v>
      </c>
      <c r="H582" s="1">
        <v>32200.0</v>
      </c>
      <c r="I582" s="1">
        <v>6472.0</v>
      </c>
      <c r="J582" s="1">
        <v>8312.0</v>
      </c>
      <c r="K582" s="1">
        <v>17416.0</v>
      </c>
    </row>
    <row r="583">
      <c r="A583" s="1" t="s">
        <v>11</v>
      </c>
      <c r="B583" s="1" t="s">
        <v>593</v>
      </c>
      <c r="C583" s="1" t="s">
        <v>13</v>
      </c>
      <c r="D583" s="2">
        <v>46010.88920138889</v>
      </c>
      <c r="E583" s="3">
        <v>46010.0</v>
      </c>
      <c r="F583" s="3" t="str">
        <f t="shared" si="1"/>
        <v>December-2025</v>
      </c>
      <c r="G583" s="1">
        <v>21.0</v>
      </c>
      <c r="H583" s="1">
        <v>47800.0</v>
      </c>
      <c r="I583" s="1">
        <v>10113.0</v>
      </c>
      <c r="J583" s="1">
        <v>10350.0</v>
      </c>
      <c r="K583" s="1">
        <v>27337.0</v>
      </c>
    </row>
    <row r="584">
      <c r="A584" s="1" t="s">
        <v>11</v>
      </c>
      <c r="B584" s="1" t="s">
        <v>594</v>
      </c>
      <c r="C584" s="1" t="s">
        <v>13</v>
      </c>
      <c r="D584" s="2">
        <v>46010.90207175926</v>
      </c>
      <c r="E584" s="3">
        <v>46010.0</v>
      </c>
      <c r="F584" s="3" t="str">
        <f t="shared" si="1"/>
        <v>December-2025</v>
      </c>
      <c r="G584" s="1">
        <v>21.0</v>
      </c>
      <c r="H584" s="1">
        <v>22900.0</v>
      </c>
      <c r="I584" s="1">
        <v>5725.0</v>
      </c>
      <c r="J584" s="1">
        <v>0.0</v>
      </c>
      <c r="K584" s="1">
        <v>17175.0</v>
      </c>
    </row>
    <row r="585">
      <c r="A585" s="1" t="s">
        <v>11</v>
      </c>
      <c r="B585" s="1" t="s">
        <v>595</v>
      </c>
      <c r="C585" s="1" t="s">
        <v>13</v>
      </c>
      <c r="D585" s="2">
        <v>46010.924375</v>
      </c>
      <c r="E585" s="3">
        <v>46010.0</v>
      </c>
      <c r="F585" s="3" t="str">
        <f t="shared" si="1"/>
        <v>December-2025</v>
      </c>
      <c r="G585" s="1">
        <v>22.0</v>
      </c>
      <c r="H585" s="1">
        <v>27500.0</v>
      </c>
      <c r="I585" s="1">
        <v>5650.0</v>
      </c>
      <c r="J585" s="1">
        <v>4900.0</v>
      </c>
      <c r="K585" s="1">
        <v>16950.0</v>
      </c>
    </row>
    <row r="586">
      <c r="A586" s="1" t="s">
        <v>11</v>
      </c>
      <c r="B586" s="1" t="s">
        <v>596</v>
      </c>
      <c r="C586" s="1" t="s">
        <v>13</v>
      </c>
      <c r="D586" s="2">
        <v>46010.94053240741</v>
      </c>
      <c r="E586" s="3">
        <v>46010.0</v>
      </c>
      <c r="F586" s="3" t="str">
        <f t="shared" si="1"/>
        <v>December-2025</v>
      </c>
      <c r="G586" s="1">
        <v>22.0</v>
      </c>
      <c r="H586" s="1">
        <v>32700.0</v>
      </c>
      <c r="I586" s="1">
        <v>6573.0</v>
      </c>
      <c r="J586" s="1">
        <v>8410.0</v>
      </c>
      <c r="K586" s="1">
        <v>17717.0</v>
      </c>
    </row>
    <row r="587">
      <c r="A587" s="1" t="s">
        <v>11</v>
      </c>
      <c r="B587" s="1" t="s">
        <v>597</v>
      </c>
      <c r="C587" s="1" t="s">
        <v>13</v>
      </c>
      <c r="D587" s="2">
        <v>46010.951944444445</v>
      </c>
      <c r="E587" s="3">
        <v>46010.0</v>
      </c>
      <c r="F587" s="3" t="str">
        <f t="shared" si="1"/>
        <v>December-2025</v>
      </c>
      <c r="G587" s="1">
        <v>22.0</v>
      </c>
      <c r="H587" s="1">
        <v>22900.0</v>
      </c>
      <c r="I587" s="1">
        <v>4603.0</v>
      </c>
      <c r="J587" s="1">
        <v>4489.0</v>
      </c>
      <c r="K587" s="1">
        <v>13808.0</v>
      </c>
    </row>
    <row r="588">
      <c r="A588" s="1" t="s">
        <v>11</v>
      </c>
      <c r="B588" s="1" t="s">
        <v>598</v>
      </c>
      <c r="C588" s="1" t="s">
        <v>13</v>
      </c>
      <c r="D588" s="2">
        <v>46011.48233796296</v>
      </c>
      <c r="E588" s="3">
        <v>46011.0</v>
      </c>
      <c r="F588" s="3" t="str">
        <f t="shared" si="1"/>
        <v>December-2025</v>
      </c>
      <c r="G588" s="1">
        <v>11.0</v>
      </c>
      <c r="H588" s="1">
        <v>23400.0</v>
      </c>
      <c r="I588" s="1">
        <v>4704.0</v>
      </c>
      <c r="J588" s="1">
        <v>4587.0</v>
      </c>
      <c r="K588" s="1">
        <v>14109.0</v>
      </c>
    </row>
    <row r="589">
      <c r="A589" s="1" t="s">
        <v>11</v>
      </c>
      <c r="B589" s="1" t="s">
        <v>599</v>
      </c>
      <c r="C589" s="1" t="s">
        <v>13</v>
      </c>
      <c r="D589" s="2">
        <v>46011.59013888889</v>
      </c>
      <c r="E589" s="3">
        <v>46011.0</v>
      </c>
      <c r="F589" s="3" t="str">
        <f t="shared" si="1"/>
        <v>December-2025</v>
      </c>
      <c r="G589" s="1">
        <v>14.0</v>
      </c>
      <c r="H589" s="1">
        <v>48700.0</v>
      </c>
      <c r="I589" s="1">
        <v>10338.0</v>
      </c>
      <c r="J589" s="1">
        <v>10350.0</v>
      </c>
      <c r="K589" s="1">
        <v>28012.0</v>
      </c>
    </row>
    <row r="590">
      <c r="A590" s="1" t="s">
        <v>11</v>
      </c>
      <c r="B590" s="1" t="s">
        <v>600</v>
      </c>
      <c r="C590" s="1" t="s">
        <v>13</v>
      </c>
      <c r="D590" s="2">
        <v>46011.61630787037</v>
      </c>
      <c r="E590" s="3">
        <v>46011.0</v>
      </c>
      <c r="F590" s="3" t="str">
        <f t="shared" si="1"/>
        <v>December-2025</v>
      </c>
      <c r="G590" s="1">
        <v>14.0</v>
      </c>
      <c r="H590" s="1">
        <v>40800.0</v>
      </c>
      <c r="I590" s="1">
        <v>8363.0</v>
      </c>
      <c r="J590" s="1">
        <v>10350.0</v>
      </c>
      <c r="K590" s="1">
        <v>22087.0</v>
      </c>
    </row>
    <row r="591">
      <c r="A591" s="1" t="s">
        <v>11</v>
      </c>
      <c r="B591" s="1" t="s">
        <v>601</v>
      </c>
      <c r="C591" s="1" t="s">
        <v>13</v>
      </c>
      <c r="D591" s="2">
        <v>46011.617476851854</v>
      </c>
      <c r="E591" s="3">
        <v>46011.0</v>
      </c>
      <c r="F591" s="3" t="str">
        <f t="shared" si="1"/>
        <v>December-2025</v>
      </c>
      <c r="G591" s="1">
        <v>14.0</v>
      </c>
      <c r="H591" s="1">
        <v>27500.0</v>
      </c>
      <c r="I591" s="1">
        <v>5650.0</v>
      </c>
      <c r="J591" s="1">
        <v>4900.0</v>
      </c>
      <c r="K591" s="1">
        <v>16950.0</v>
      </c>
    </row>
    <row r="592">
      <c r="A592" s="1" t="s">
        <v>11</v>
      </c>
      <c r="B592" s="1" t="s">
        <v>602</v>
      </c>
      <c r="C592" s="1" t="s">
        <v>13</v>
      </c>
      <c r="D592" s="2">
        <v>46011.62857638889</v>
      </c>
      <c r="E592" s="3">
        <v>46011.0</v>
      </c>
      <c r="F592" s="3" t="str">
        <f t="shared" si="1"/>
        <v>December-2025</v>
      </c>
      <c r="G592" s="1">
        <v>15.0</v>
      </c>
      <c r="H592" s="1">
        <v>23400.0</v>
      </c>
      <c r="I592" s="1">
        <v>4704.0</v>
      </c>
      <c r="J592" s="1">
        <v>4587.0</v>
      </c>
      <c r="K592" s="1">
        <v>14109.0</v>
      </c>
    </row>
    <row r="593">
      <c r="A593" s="1" t="s">
        <v>11</v>
      </c>
      <c r="B593" s="1" t="s">
        <v>603</v>
      </c>
      <c r="C593" s="1" t="s">
        <v>13</v>
      </c>
      <c r="D593" s="2">
        <v>46011.66357638889</v>
      </c>
      <c r="E593" s="3">
        <v>46011.0</v>
      </c>
      <c r="F593" s="3" t="str">
        <f t="shared" si="1"/>
        <v>December-2025</v>
      </c>
      <c r="G593" s="1">
        <v>15.0</v>
      </c>
      <c r="H593" s="1">
        <v>37400.0</v>
      </c>
      <c r="I593" s="1">
        <v>7518.0</v>
      </c>
      <c r="J593" s="1">
        <v>9331.0</v>
      </c>
      <c r="K593" s="1">
        <v>20551.0</v>
      </c>
    </row>
    <row r="594">
      <c r="A594" s="1" t="s">
        <v>11</v>
      </c>
      <c r="B594" s="1" t="s">
        <v>604</v>
      </c>
      <c r="C594" s="1" t="s">
        <v>13</v>
      </c>
      <c r="D594" s="2">
        <v>46011.72565972222</v>
      </c>
      <c r="E594" s="3">
        <v>46011.0</v>
      </c>
      <c r="F594" s="3" t="str">
        <f t="shared" si="1"/>
        <v>December-2025</v>
      </c>
      <c r="G594" s="1">
        <v>17.0</v>
      </c>
      <c r="H594" s="1">
        <v>33800.0</v>
      </c>
      <c r="I594" s="1">
        <v>6794.0</v>
      </c>
      <c r="J594" s="1">
        <v>8625.0</v>
      </c>
      <c r="K594" s="1">
        <v>18381.0</v>
      </c>
    </row>
    <row r="595">
      <c r="A595" s="1" t="s">
        <v>11</v>
      </c>
      <c r="B595" s="1" t="s">
        <v>605</v>
      </c>
      <c r="C595" s="1" t="s">
        <v>13</v>
      </c>
      <c r="D595" s="2">
        <v>46011.72792824074</v>
      </c>
      <c r="E595" s="3">
        <v>46011.0</v>
      </c>
      <c r="F595" s="3" t="str">
        <f t="shared" si="1"/>
        <v>December-2025</v>
      </c>
      <c r="G595" s="1">
        <v>17.0</v>
      </c>
      <c r="H595" s="1">
        <v>114500.0</v>
      </c>
      <c r="I595" s="1">
        <v>28625.0</v>
      </c>
      <c r="J595" s="1">
        <v>9000.0</v>
      </c>
      <c r="K595" s="1">
        <v>76875.0</v>
      </c>
    </row>
    <row r="596">
      <c r="A596" s="1" t="s">
        <v>11</v>
      </c>
      <c r="B596" s="1" t="s">
        <v>606</v>
      </c>
      <c r="C596" s="1" t="s">
        <v>13</v>
      </c>
      <c r="D596" s="2">
        <v>46011.763125</v>
      </c>
      <c r="E596" s="3">
        <v>46011.0</v>
      </c>
      <c r="F596" s="3" t="str">
        <f t="shared" si="1"/>
        <v>December-2025</v>
      </c>
      <c r="G596" s="1">
        <v>18.0</v>
      </c>
      <c r="H596" s="1">
        <v>45800.0</v>
      </c>
      <c r="I596" s="1">
        <v>9613.0</v>
      </c>
      <c r="J596" s="1">
        <v>10350.0</v>
      </c>
      <c r="K596" s="1">
        <v>25837.0</v>
      </c>
    </row>
    <row r="597">
      <c r="A597" s="1" t="s">
        <v>11</v>
      </c>
      <c r="B597" s="1" t="s">
        <v>607</v>
      </c>
      <c r="C597" s="1" t="s">
        <v>13</v>
      </c>
      <c r="D597" s="2">
        <v>46011.796898148146</v>
      </c>
      <c r="E597" s="3">
        <v>46011.0</v>
      </c>
      <c r="F597" s="3" t="str">
        <f t="shared" si="1"/>
        <v>December-2025</v>
      </c>
      <c r="G597" s="1">
        <v>19.0</v>
      </c>
      <c r="H597" s="1">
        <v>71100.0</v>
      </c>
      <c r="I597" s="1">
        <v>14105.0</v>
      </c>
      <c r="J597" s="1">
        <v>18683.0</v>
      </c>
      <c r="K597" s="1">
        <v>38312.0</v>
      </c>
    </row>
    <row r="598">
      <c r="A598" s="1" t="s">
        <v>11</v>
      </c>
      <c r="B598" s="1" t="s">
        <v>608</v>
      </c>
      <c r="C598" s="1" t="s">
        <v>13</v>
      </c>
      <c r="D598" s="2">
        <v>46011.80336805555</v>
      </c>
      <c r="E598" s="3">
        <v>46011.0</v>
      </c>
      <c r="F598" s="3" t="str">
        <f t="shared" si="1"/>
        <v>December-2025</v>
      </c>
      <c r="G598" s="1">
        <v>19.0</v>
      </c>
      <c r="H598" s="1">
        <v>109000.0</v>
      </c>
      <c r="I598" s="1">
        <v>20819.0</v>
      </c>
      <c r="J598" s="1">
        <v>34724.0</v>
      </c>
      <c r="K598" s="1">
        <v>53457.0</v>
      </c>
    </row>
    <row r="599">
      <c r="A599" s="1" t="s">
        <v>11</v>
      </c>
      <c r="B599" s="1" t="s">
        <v>609</v>
      </c>
      <c r="C599" s="1" t="s">
        <v>13</v>
      </c>
      <c r="D599" s="2">
        <v>46011.80908564815</v>
      </c>
      <c r="E599" s="3">
        <v>46011.0</v>
      </c>
      <c r="F599" s="3" t="str">
        <f t="shared" si="1"/>
        <v>December-2025</v>
      </c>
      <c r="G599" s="1">
        <v>19.0</v>
      </c>
      <c r="H599" s="1">
        <v>39400.0</v>
      </c>
      <c r="I599" s="1">
        <v>8013.0</v>
      </c>
      <c r="J599" s="1">
        <v>9350.0</v>
      </c>
      <c r="K599" s="1">
        <v>22037.0</v>
      </c>
    </row>
    <row r="600">
      <c r="A600" s="1" t="s">
        <v>11</v>
      </c>
      <c r="B600" s="1" t="s">
        <v>610</v>
      </c>
      <c r="C600" s="1" t="s">
        <v>13</v>
      </c>
      <c r="D600" s="2">
        <v>46011.82603009259</v>
      </c>
      <c r="E600" s="3">
        <v>46011.0</v>
      </c>
      <c r="F600" s="3" t="str">
        <f t="shared" si="1"/>
        <v>December-2025</v>
      </c>
      <c r="G600" s="1">
        <v>19.0</v>
      </c>
      <c r="H600" s="1">
        <v>41900.0</v>
      </c>
      <c r="I600" s="1">
        <v>8638.0</v>
      </c>
      <c r="J600" s="1">
        <v>10350.0</v>
      </c>
      <c r="K600" s="1">
        <v>22912.0</v>
      </c>
    </row>
    <row r="601">
      <c r="A601" s="1" t="s">
        <v>11</v>
      </c>
      <c r="B601" s="1" t="s">
        <v>611</v>
      </c>
      <c r="C601" s="1" t="s">
        <v>13</v>
      </c>
      <c r="D601" s="2">
        <v>46011.88721064815</v>
      </c>
      <c r="E601" s="3">
        <v>46011.0</v>
      </c>
      <c r="F601" s="3" t="str">
        <f t="shared" si="1"/>
        <v>December-2025</v>
      </c>
      <c r="G601" s="1">
        <v>21.0</v>
      </c>
      <c r="H601" s="1">
        <v>22500.0</v>
      </c>
      <c r="I601" s="1">
        <v>4523.0</v>
      </c>
      <c r="J601" s="1">
        <v>4410.0</v>
      </c>
      <c r="K601" s="1">
        <v>13567.0</v>
      </c>
    </row>
    <row r="602">
      <c r="A602" s="1" t="s">
        <v>11</v>
      </c>
      <c r="B602" s="1" t="s">
        <v>612</v>
      </c>
      <c r="C602" s="1" t="s">
        <v>13</v>
      </c>
      <c r="D602" s="2">
        <v>46011.90572916667</v>
      </c>
      <c r="E602" s="3">
        <v>46011.0</v>
      </c>
      <c r="F602" s="3" t="str">
        <f t="shared" si="1"/>
        <v>December-2025</v>
      </c>
      <c r="G602" s="1">
        <v>21.0</v>
      </c>
      <c r="H602" s="1">
        <v>57600.0</v>
      </c>
      <c r="I602" s="1">
        <v>11427.0</v>
      </c>
      <c r="J602" s="1">
        <v>15895.0</v>
      </c>
      <c r="K602" s="1">
        <v>30278.0</v>
      </c>
    </row>
    <row r="603">
      <c r="A603" s="1" t="s">
        <v>11</v>
      </c>
      <c r="B603" s="1" t="s">
        <v>613</v>
      </c>
      <c r="C603" s="1" t="s">
        <v>13</v>
      </c>
      <c r="D603" s="2">
        <v>46011.92417824074</v>
      </c>
      <c r="E603" s="3">
        <v>46011.0</v>
      </c>
      <c r="F603" s="3" t="str">
        <f t="shared" si="1"/>
        <v>December-2025</v>
      </c>
      <c r="G603" s="1">
        <v>22.0</v>
      </c>
      <c r="H603" s="1">
        <v>21800.0</v>
      </c>
      <c r="I603" s="1">
        <v>4382.0</v>
      </c>
      <c r="J603" s="1">
        <v>4273.0</v>
      </c>
      <c r="K603" s="1">
        <v>13145.0</v>
      </c>
    </row>
    <row r="604">
      <c r="A604" s="1" t="s">
        <v>11</v>
      </c>
      <c r="B604" s="1" t="s">
        <v>614</v>
      </c>
      <c r="C604" s="1" t="s">
        <v>13</v>
      </c>
      <c r="D604" s="2">
        <v>46011.933541666665</v>
      </c>
      <c r="E604" s="3">
        <v>46011.0</v>
      </c>
      <c r="F604" s="3" t="str">
        <f t="shared" si="1"/>
        <v>December-2025</v>
      </c>
      <c r="G604" s="1">
        <v>22.0</v>
      </c>
      <c r="H604" s="1">
        <v>29400.0</v>
      </c>
      <c r="I604" s="1">
        <v>6125.0</v>
      </c>
      <c r="J604" s="1">
        <v>4900.0</v>
      </c>
      <c r="K604" s="1">
        <v>18375.0</v>
      </c>
    </row>
    <row r="605">
      <c r="A605" s="1" t="s">
        <v>11</v>
      </c>
      <c r="B605" s="1" t="s">
        <v>615</v>
      </c>
      <c r="C605" s="1" t="s">
        <v>13</v>
      </c>
      <c r="D605" s="2">
        <v>46012.46695601852</v>
      </c>
      <c r="E605" s="3">
        <v>46012.0</v>
      </c>
      <c r="F605" s="3" t="str">
        <f t="shared" si="1"/>
        <v>December-2025</v>
      </c>
      <c r="G605" s="1">
        <v>11.0</v>
      </c>
      <c r="H605" s="1">
        <v>31400.0</v>
      </c>
      <c r="I605" s="1">
        <v>6312.0</v>
      </c>
      <c r="J605" s="1">
        <v>8155.0</v>
      </c>
      <c r="K605" s="1">
        <v>16933.0</v>
      </c>
    </row>
    <row r="606">
      <c r="A606" s="1" t="s">
        <v>11</v>
      </c>
      <c r="B606" s="1" t="s">
        <v>616</v>
      </c>
      <c r="C606" s="1" t="s">
        <v>13</v>
      </c>
      <c r="D606" s="2">
        <v>46012.46822916667</v>
      </c>
      <c r="E606" s="3">
        <v>46012.0</v>
      </c>
      <c r="F606" s="3" t="str">
        <f t="shared" si="1"/>
        <v>December-2025</v>
      </c>
      <c r="G606" s="1">
        <v>11.0</v>
      </c>
      <c r="H606" s="1">
        <v>38300.0</v>
      </c>
      <c r="I606" s="1">
        <v>7738.0</v>
      </c>
      <c r="J606" s="1">
        <v>9350.0</v>
      </c>
      <c r="K606" s="1">
        <v>21212.0</v>
      </c>
    </row>
    <row r="607">
      <c r="A607" s="1" t="s">
        <v>11</v>
      </c>
      <c r="B607" s="1" t="s">
        <v>617</v>
      </c>
      <c r="C607" s="1" t="s">
        <v>13</v>
      </c>
      <c r="D607" s="2">
        <v>46012.47369212963</v>
      </c>
      <c r="E607" s="3">
        <v>46012.0</v>
      </c>
      <c r="F607" s="3" t="str">
        <f t="shared" si="1"/>
        <v>December-2025</v>
      </c>
      <c r="G607" s="1">
        <v>11.0</v>
      </c>
      <c r="H607" s="1">
        <v>274800.0</v>
      </c>
      <c r="I607" s="1">
        <v>52487.0</v>
      </c>
      <c r="J607" s="1">
        <v>73853.0</v>
      </c>
      <c r="K607" s="1">
        <v>148460.0</v>
      </c>
    </row>
    <row r="608">
      <c r="A608" s="1" t="s">
        <v>11</v>
      </c>
      <c r="B608" s="1" t="s">
        <v>618</v>
      </c>
      <c r="C608" s="1" t="s">
        <v>13</v>
      </c>
      <c r="D608" s="2">
        <v>46012.48627314815</v>
      </c>
      <c r="E608" s="3">
        <v>46012.0</v>
      </c>
      <c r="F608" s="3" t="str">
        <f t="shared" si="1"/>
        <v>December-2025</v>
      </c>
      <c r="G608" s="1">
        <v>11.0</v>
      </c>
      <c r="H608" s="1">
        <v>25800.0</v>
      </c>
      <c r="I608" s="1">
        <v>5225.0</v>
      </c>
      <c r="J608" s="1">
        <v>4900.0</v>
      </c>
      <c r="K608" s="1">
        <v>15675.0</v>
      </c>
    </row>
    <row r="609">
      <c r="A609" s="1" t="s">
        <v>11</v>
      </c>
      <c r="B609" s="1" t="s">
        <v>619</v>
      </c>
      <c r="C609" s="1" t="s">
        <v>13</v>
      </c>
      <c r="D609" s="2">
        <v>46012.52479166666</v>
      </c>
      <c r="E609" s="3">
        <v>46012.0</v>
      </c>
      <c r="F609" s="3" t="str">
        <f t="shared" si="1"/>
        <v>December-2025</v>
      </c>
      <c r="G609" s="1">
        <v>12.0</v>
      </c>
      <c r="H609" s="1">
        <v>41000.0</v>
      </c>
      <c r="I609" s="1">
        <v>10250.0</v>
      </c>
      <c r="J609" s="1">
        <v>3000.0</v>
      </c>
      <c r="K609" s="1">
        <v>27750.0</v>
      </c>
    </row>
    <row r="610">
      <c r="A610" s="1" t="s">
        <v>11</v>
      </c>
      <c r="B610" s="1" t="s">
        <v>620</v>
      </c>
      <c r="C610" s="1" t="s">
        <v>13</v>
      </c>
      <c r="D610" s="2">
        <v>46012.56148148148</v>
      </c>
      <c r="E610" s="3">
        <v>46012.0</v>
      </c>
      <c r="F610" s="3" t="str">
        <f t="shared" si="1"/>
        <v>December-2025</v>
      </c>
      <c r="G610" s="1">
        <v>13.0</v>
      </c>
      <c r="H610" s="1">
        <v>17900.0</v>
      </c>
      <c r="I610" s="1">
        <v>3379.0</v>
      </c>
      <c r="J610" s="1">
        <v>4386.0</v>
      </c>
      <c r="K610" s="1">
        <v>10135.0</v>
      </c>
    </row>
    <row r="611">
      <c r="A611" s="1" t="s">
        <v>11</v>
      </c>
      <c r="B611" s="1" t="s">
        <v>621</v>
      </c>
      <c r="C611" s="1" t="s">
        <v>13</v>
      </c>
      <c r="D611" s="2">
        <v>46012.721354166664</v>
      </c>
      <c r="E611" s="3">
        <v>46012.0</v>
      </c>
      <c r="F611" s="3" t="str">
        <f t="shared" si="1"/>
        <v>December-2025</v>
      </c>
      <c r="G611" s="1">
        <v>17.0</v>
      </c>
      <c r="H611" s="1">
        <v>28800.0</v>
      </c>
      <c r="I611" s="1">
        <v>5975.0</v>
      </c>
      <c r="J611" s="1">
        <v>4900.0</v>
      </c>
      <c r="K611" s="1">
        <v>17925.0</v>
      </c>
    </row>
    <row r="612">
      <c r="A612" s="1" t="s">
        <v>11</v>
      </c>
      <c r="B612" s="1" t="s">
        <v>622</v>
      </c>
      <c r="C612" s="1" t="s">
        <v>13</v>
      </c>
      <c r="D612" s="2">
        <v>46012.75034722222</v>
      </c>
      <c r="E612" s="3">
        <v>46012.0</v>
      </c>
      <c r="F612" s="3" t="str">
        <f t="shared" si="1"/>
        <v>December-2025</v>
      </c>
      <c r="G612" s="1">
        <v>18.0</v>
      </c>
      <c r="H612" s="1">
        <v>37400.0</v>
      </c>
      <c r="I612" s="1">
        <v>7518.0</v>
      </c>
      <c r="J612" s="1">
        <v>9331.0</v>
      </c>
      <c r="K612" s="1">
        <v>20551.0</v>
      </c>
    </row>
    <row r="613">
      <c r="A613" s="1" t="s">
        <v>11</v>
      </c>
      <c r="B613" s="1" t="s">
        <v>623</v>
      </c>
      <c r="C613" s="1" t="s">
        <v>13</v>
      </c>
      <c r="D613" s="2">
        <v>46012.78712962963</v>
      </c>
      <c r="E613" s="3">
        <v>46012.0</v>
      </c>
      <c r="F613" s="3" t="str">
        <f t="shared" si="1"/>
        <v>December-2025</v>
      </c>
      <c r="G613" s="1">
        <v>18.0</v>
      </c>
      <c r="H613" s="1">
        <v>45800.0</v>
      </c>
      <c r="I613" s="1">
        <v>9613.0</v>
      </c>
      <c r="J613" s="1">
        <v>10350.0</v>
      </c>
      <c r="K613" s="1">
        <v>25837.0</v>
      </c>
    </row>
    <row r="614">
      <c r="A614" s="1" t="s">
        <v>11</v>
      </c>
      <c r="B614" s="1" t="s">
        <v>624</v>
      </c>
      <c r="C614" s="1" t="s">
        <v>13</v>
      </c>
      <c r="D614" s="2">
        <v>46012.787465277775</v>
      </c>
      <c r="E614" s="3">
        <v>46012.0</v>
      </c>
      <c r="F614" s="3" t="str">
        <f t="shared" si="1"/>
        <v>December-2025</v>
      </c>
      <c r="G614" s="1">
        <v>18.0</v>
      </c>
      <c r="H614" s="1">
        <v>43900.0</v>
      </c>
      <c r="I614" s="1">
        <v>9138.0</v>
      </c>
      <c r="J614" s="1">
        <v>10350.0</v>
      </c>
      <c r="K614" s="1">
        <v>24412.0</v>
      </c>
    </row>
    <row r="615">
      <c r="A615" s="1" t="s">
        <v>11</v>
      </c>
      <c r="B615" s="1" t="s">
        <v>625</v>
      </c>
      <c r="C615" s="1" t="s">
        <v>13</v>
      </c>
      <c r="D615" s="2">
        <v>46013.747407407405</v>
      </c>
      <c r="E615" s="3">
        <v>46013.0</v>
      </c>
      <c r="F615" s="3" t="str">
        <f t="shared" si="1"/>
        <v>December-2025</v>
      </c>
      <c r="G615" s="1">
        <v>17.0</v>
      </c>
      <c r="H615" s="1">
        <v>17900.0</v>
      </c>
      <c r="I615" s="1">
        <v>4475.0</v>
      </c>
      <c r="J615" s="1">
        <v>0.0</v>
      </c>
      <c r="K615" s="1">
        <v>13425.0</v>
      </c>
    </row>
    <row r="616">
      <c r="A616" s="1" t="s">
        <v>11</v>
      </c>
      <c r="B616" s="1" t="s">
        <v>626</v>
      </c>
      <c r="C616" s="1" t="s">
        <v>13</v>
      </c>
      <c r="D616" s="2">
        <v>46013.79193287037</v>
      </c>
      <c r="E616" s="3">
        <v>46013.0</v>
      </c>
      <c r="F616" s="3" t="str">
        <f t="shared" si="1"/>
        <v>December-2025</v>
      </c>
      <c r="G616" s="1">
        <v>19.0</v>
      </c>
      <c r="H616" s="1">
        <v>75900.0</v>
      </c>
      <c r="I616" s="1">
        <v>15057.0</v>
      </c>
      <c r="J616" s="1">
        <v>19674.0</v>
      </c>
      <c r="K616" s="1">
        <v>41169.0</v>
      </c>
    </row>
    <row r="617">
      <c r="A617" s="1" t="s">
        <v>11</v>
      </c>
      <c r="B617" s="1" t="s">
        <v>627</v>
      </c>
      <c r="C617" s="1" t="s">
        <v>13</v>
      </c>
      <c r="D617" s="2">
        <v>46013.905752314815</v>
      </c>
      <c r="E617" s="3">
        <v>46013.0</v>
      </c>
      <c r="F617" s="3" t="str">
        <f t="shared" si="1"/>
        <v>December-2025</v>
      </c>
      <c r="G617" s="1">
        <v>21.0</v>
      </c>
      <c r="H617" s="1">
        <v>41200.0</v>
      </c>
      <c r="I617" s="1">
        <v>8463.0</v>
      </c>
      <c r="J617" s="1">
        <v>10350.0</v>
      </c>
      <c r="K617" s="1">
        <v>22387.0</v>
      </c>
    </row>
    <row r="618">
      <c r="A618" s="1" t="s">
        <v>11</v>
      </c>
      <c r="B618" s="1" t="s">
        <v>628</v>
      </c>
      <c r="C618" s="1" t="s">
        <v>13</v>
      </c>
      <c r="D618" s="2">
        <v>46013.915601851855</v>
      </c>
      <c r="E618" s="3">
        <v>46013.0</v>
      </c>
      <c r="F618" s="3" t="str">
        <f t="shared" si="1"/>
        <v>December-2025</v>
      </c>
      <c r="G618" s="1">
        <v>21.0</v>
      </c>
      <c r="H618" s="1">
        <v>32700.0</v>
      </c>
      <c r="I618" s="1">
        <v>8175.0</v>
      </c>
      <c r="J618" s="1">
        <v>2000.0</v>
      </c>
      <c r="K618" s="1">
        <v>22525.0</v>
      </c>
    </row>
    <row r="619">
      <c r="A619" s="1" t="s">
        <v>11</v>
      </c>
      <c r="B619" s="1" t="s">
        <v>629</v>
      </c>
      <c r="C619" s="1" t="s">
        <v>13</v>
      </c>
      <c r="D619" s="2">
        <v>46014.498877314814</v>
      </c>
      <c r="E619" s="3">
        <v>46014.0</v>
      </c>
      <c r="F619" s="3" t="str">
        <f t="shared" si="1"/>
        <v>December-2025</v>
      </c>
      <c r="G619" s="1">
        <v>11.0</v>
      </c>
      <c r="H619" s="1">
        <v>100100.0</v>
      </c>
      <c r="I619" s="1">
        <v>19119.0</v>
      </c>
      <c r="J619" s="1">
        <v>30624.0</v>
      </c>
      <c r="K619" s="1">
        <v>50357.0</v>
      </c>
    </row>
    <row r="620">
      <c r="A620" s="1" t="s">
        <v>11</v>
      </c>
      <c r="B620" s="1" t="s">
        <v>630</v>
      </c>
      <c r="C620" s="1" t="s">
        <v>13</v>
      </c>
      <c r="D620" s="2">
        <v>46014.53340277778</v>
      </c>
      <c r="E620" s="3">
        <v>46014.0</v>
      </c>
      <c r="F620" s="3" t="str">
        <f t="shared" si="1"/>
        <v>December-2025</v>
      </c>
      <c r="G620" s="1">
        <v>12.0</v>
      </c>
      <c r="H620" s="1">
        <v>17900.0</v>
      </c>
      <c r="I620" s="1">
        <v>3598.0</v>
      </c>
      <c r="J620" s="1">
        <v>3509.0</v>
      </c>
      <c r="K620" s="1">
        <v>10793.0</v>
      </c>
    </row>
    <row r="621">
      <c r="A621" s="1" t="s">
        <v>11</v>
      </c>
      <c r="B621" s="1" t="s">
        <v>631</v>
      </c>
      <c r="C621" s="1" t="s">
        <v>13</v>
      </c>
      <c r="D621" s="2">
        <v>46014.591631944444</v>
      </c>
      <c r="E621" s="3">
        <v>46014.0</v>
      </c>
      <c r="F621" s="3" t="str">
        <f t="shared" si="1"/>
        <v>December-2025</v>
      </c>
      <c r="G621" s="1">
        <v>14.0</v>
      </c>
      <c r="H621" s="1">
        <v>28800.0</v>
      </c>
      <c r="I621" s="1">
        <v>5975.0</v>
      </c>
      <c r="J621" s="1">
        <v>4900.0</v>
      </c>
      <c r="K621" s="1">
        <v>17925.0</v>
      </c>
    </row>
    <row r="622">
      <c r="A622" s="1" t="s">
        <v>11</v>
      </c>
      <c r="B622" s="1" t="s">
        <v>632</v>
      </c>
      <c r="C622" s="1" t="s">
        <v>13</v>
      </c>
      <c r="D622" s="2">
        <v>46014.626493055555</v>
      </c>
      <c r="E622" s="3">
        <v>46014.0</v>
      </c>
      <c r="F622" s="3" t="str">
        <f t="shared" si="1"/>
        <v>December-2025</v>
      </c>
      <c r="G622" s="1">
        <v>15.0</v>
      </c>
      <c r="H622" s="1">
        <v>35800.0</v>
      </c>
      <c r="I622" s="1">
        <v>7196.0</v>
      </c>
      <c r="J622" s="1">
        <v>9017.0</v>
      </c>
      <c r="K622" s="1">
        <v>19587.0</v>
      </c>
    </row>
    <row r="623">
      <c r="A623" s="1" t="s">
        <v>11</v>
      </c>
      <c r="B623" s="1" t="s">
        <v>633</v>
      </c>
      <c r="C623" s="1" t="s">
        <v>13</v>
      </c>
      <c r="D623" s="2">
        <v>46014.727175925924</v>
      </c>
      <c r="E623" s="3">
        <v>46014.0</v>
      </c>
      <c r="F623" s="3" t="str">
        <f t="shared" si="1"/>
        <v>December-2025</v>
      </c>
      <c r="G623" s="1">
        <v>17.0</v>
      </c>
      <c r="H623" s="1">
        <v>17900.0</v>
      </c>
      <c r="I623" s="1">
        <v>3598.0</v>
      </c>
      <c r="J623" s="1">
        <v>3509.0</v>
      </c>
      <c r="K623" s="1">
        <v>10793.0</v>
      </c>
    </row>
    <row r="624">
      <c r="A624" s="1" t="s">
        <v>11</v>
      </c>
      <c r="B624" s="1" t="s">
        <v>634</v>
      </c>
      <c r="C624" s="1" t="s">
        <v>13</v>
      </c>
      <c r="D624" s="2">
        <v>46014.8</v>
      </c>
      <c r="E624" s="3">
        <v>46014.0</v>
      </c>
      <c r="F624" s="3" t="str">
        <f t="shared" si="1"/>
        <v>December-2025</v>
      </c>
      <c r="G624" s="1">
        <v>19.0</v>
      </c>
      <c r="H624" s="1">
        <v>41400.0</v>
      </c>
      <c r="I624" s="1">
        <v>8513.0</v>
      </c>
      <c r="J624" s="1">
        <v>10350.0</v>
      </c>
      <c r="K624" s="1">
        <v>22537.0</v>
      </c>
    </row>
    <row r="625">
      <c r="A625" s="1" t="s">
        <v>11</v>
      </c>
      <c r="B625" s="1" t="s">
        <v>635</v>
      </c>
      <c r="C625" s="1" t="s">
        <v>13</v>
      </c>
      <c r="D625" s="2">
        <v>46014.86087962963</v>
      </c>
      <c r="E625" s="3">
        <v>46014.0</v>
      </c>
      <c r="F625" s="3" t="str">
        <f t="shared" si="1"/>
        <v>December-2025</v>
      </c>
      <c r="G625" s="1">
        <v>20.0</v>
      </c>
      <c r="H625" s="1">
        <v>29400.0</v>
      </c>
      <c r="I625" s="1">
        <v>6125.0</v>
      </c>
      <c r="J625" s="1">
        <v>4900.0</v>
      </c>
      <c r="K625" s="1">
        <v>18375.0</v>
      </c>
    </row>
    <row r="626">
      <c r="A626" s="1" t="s">
        <v>11</v>
      </c>
      <c r="B626" s="1" t="s">
        <v>636</v>
      </c>
      <c r="C626" s="1" t="s">
        <v>13</v>
      </c>
      <c r="D626" s="2">
        <v>46014.87809027778</v>
      </c>
      <c r="E626" s="3">
        <v>46014.0</v>
      </c>
      <c r="F626" s="3" t="str">
        <f t="shared" si="1"/>
        <v>December-2025</v>
      </c>
      <c r="G626" s="1">
        <v>21.0</v>
      </c>
      <c r="H626" s="1">
        <v>35800.0</v>
      </c>
      <c r="I626" s="1">
        <v>7196.0</v>
      </c>
      <c r="J626" s="1">
        <v>9017.0</v>
      </c>
      <c r="K626" s="1">
        <v>19587.0</v>
      </c>
    </row>
    <row r="627">
      <c r="A627" s="1" t="s">
        <v>11</v>
      </c>
      <c r="B627" s="1" t="s">
        <v>637</v>
      </c>
      <c r="C627" s="1" t="s">
        <v>13</v>
      </c>
      <c r="D627" s="2">
        <v>46015.49755787037</v>
      </c>
      <c r="E627" s="3">
        <v>46015.0</v>
      </c>
      <c r="F627" s="3" t="str">
        <f t="shared" si="1"/>
        <v>December-2025</v>
      </c>
      <c r="G627" s="1">
        <v>11.0</v>
      </c>
      <c r="H627" s="1">
        <v>45400.0</v>
      </c>
      <c r="I627" s="1">
        <v>9513.0</v>
      </c>
      <c r="J627" s="1">
        <v>10350.0</v>
      </c>
      <c r="K627" s="1">
        <v>25537.0</v>
      </c>
    </row>
    <row r="628">
      <c r="A628" s="1" t="s">
        <v>11</v>
      </c>
      <c r="B628" s="1" t="s">
        <v>638</v>
      </c>
      <c r="C628" s="1" t="s">
        <v>13</v>
      </c>
      <c r="D628" s="2">
        <v>46015.558703703704</v>
      </c>
      <c r="E628" s="3">
        <v>46015.0</v>
      </c>
      <c r="F628" s="3" t="str">
        <f t="shared" si="1"/>
        <v>December-2025</v>
      </c>
      <c r="G628" s="1">
        <v>13.0</v>
      </c>
      <c r="H628" s="1">
        <v>143900.0</v>
      </c>
      <c r="I628" s="1">
        <v>27485.0</v>
      </c>
      <c r="J628" s="1">
        <v>41961.0</v>
      </c>
      <c r="K628" s="1">
        <v>74454.0</v>
      </c>
    </row>
    <row r="629">
      <c r="A629" s="1" t="s">
        <v>11</v>
      </c>
      <c r="B629" s="1" t="s">
        <v>639</v>
      </c>
      <c r="C629" s="1" t="s">
        <v>13</v>
      </c>
      <c r="D629" s="2">
        <v>46015.632256944446</v>
      </c>
      <c r="E629" s="3">
        <v>46015.0</v>
      </c>
      <c r="F629" s="3" t="str">
        <f t="shared" si="1"/>
        <v>December-2025</v>
      </c>
      <c r="G629" s="1">
        <v>15.0</v>
      </c>
      <c r="H629" s="1">
        <v>35300.0</v>
      </c>
      <c r="I629" s="1">
        <v>7096.0</v>
      </c>
      <c r="J629" s="1">
        <v>8919.0</v>
      </c>
      <c r="K629" s="1">
        <v>19285.0</v>
      </c>
    </row>
    <row r="630">
      <c r="A630" s="1" t="s">
        <v>11</v>
      </c>
      <c r="B630" s="1" t="s">
        <v>640</v>
      </c>
      <c r="C630" s="1" t="s">
        <v>13</v>
      </c>
      <c r="D630" s="2">
        <v>46015.8172337963</v>
      </c>
      <c r="E630" s="3">
        <v>46015.0</v>
      </c>
      <c r="F630" s="3" t="str">
        <f t="shared" si="1"/>
        <v>December-2025</v>
      </c>
      <c r="G630" s="1">
        <v>19.0</v>
      </c>
      <c r="H630" s="1">
        <v>90800.0</v>
      </c>
      <c r="I630" s="1">
        <v>18013.0</v>
      </c>
      <c r="J630" s="1">
        <v>22751.0</v>
      </c>
      <c r="K630" s="1">
        <v>50036.0</v>
      </c>
    </row>
    <row r="631">
      <c r="A631" s="1" t="s">
        <v>11</v>
      </c>
      <c r="B631" s="1" t="s">
        <v>641</v>
      </c>
      <c r="C631" s="1" t="s">
        <v>13</v>
      </c>
      <c r="D631" s="2">
        <v>46015.82982638889</v>
      </c>
      <c r="E631" s="3">
        <v>46015.0</v>
      </c>
      <c r="F631" s="3" t="str">
        <f t="shared" si="1"/>
        <v>December-2025</v>
      </c>
      <c r="G631" s="1">
        <v>19.0</v>
      </c>
      <c r="H631" s="1">
        <v>42100.0</v>
      </c>
      <c r="I631" s="1">
        <v>8688.0</v>
      </c>
      <c r="J631" s="1">
        <v>10350.0</v>
      </c>
      <c r="K631" s="1">
        <v>23062.0</v>
      </c>
    </row>
    <row r="632">
      <c r="A632" s="1" t="s">
        <v>11</v>
      </c>
      <c r="B632" s="1" t="s">
        <v>642</v>
      </c>
      <c r="C632" s="1" t="s">
        <v>13</v>
      </c>
      <c r="D632" s="2">
        <v>46015.83351851852</v>
      </c>
      <c r="E632" s="3">
        <v>46015.0</v>
      </c>
      <c r="F632" s="3" t="str">
        <f t="shared" si="1"/>
        <v>December-2025</v>
      </c>
      <c r="G632" s="1">
        <v>20.0</v>
      </c>
      <c r="H632" s="1">
        <v>40500.0</v>
      </c>
      <c r="I632" s="1">
        <v>8288.0</v>
      </c>
      <c r="J632" s="1">
        <v>10350.0</v>
      </c>
      <c r="K632" s="1">
        <v>21862.0</v>
      </c>
    </row>
    <row r="633">
      <c r="A633" s="1" t="s">
        <v>11</v>
      </c>
      <c r="B633" s="1" t="s">
        <v>643</v>
      </c>
      <c r="C633" s="1" t="s">
        <v>13</v>
      </c>
      <c r="D633" s="2">
        <v>46015.84548611111</v>
      </c>
      <c r="E633" s="3">
        <v>46015.0</v>
      </c>
      <c r="F633" s="3" t="str">
        <f t="shared" si="1"/>
        <v>December-2025</v>
      </c>
      <c r="G633" s="1">
        <v>20.0</v>
      </c>
      <c r="H633" s="1">
        <v>17900.0</v>
      </c>
      <c r="I633" s="1">
        <v>3598.0</v>
      </c>
      <c r="J633" s="1">
        <v>3509.0</v>
      </c>
      <c r="K633" s="1">
        <v>10793.0</v>
      </c>
    </row>
    <row r="634">
      <c r="A634" s="1" t="s">
        <v>11</v>
      </c>
      <c r="B634" s="1" t="s">
        <v>644</v>
      </c>
      <c r="C634" s="1" t="s">
        <v>13</v>
      </c>
      <c r="D634" s="2">
        <v>46015.91653935185</v>
      </c>
      <c r="E634" s="3">
        <v>46015.0</v>
      </c>
      <c r="F634" s="3" t="str">
        <f t="shared" si="1"/>
        <v>December-2025</v>
      </c>
      <c r="G634" s="1">
        <v>21.0</v>
      </c>
      <c r="H634" s="1">
        <v>17900.0</v>
      </c>
      <c r="I634" s="1">
        <v>4475.0</v>
      </c>
      <c r="J634" s="1">
        <v>0.0</v>
      </c>
      <c r="K634" s="1">
        <v>13425.0</v>
      </c>
    </row>
    <row r="635">
      <c r="A635" s="1" t="s">
        <v>11</v>
      </c>
      <c r="B635" s="1" t="s">
        <v>645</v>
      </c>
      <c r="C635" s="1" t="s">
        <v>13</v>
      </c>
      <c r="D635" s="2">
        <v>46016.693078703705</v>
      </c>
      <c r="E635" s="3">
        <v>46016.0</v>
      </c>
      <c r="F635" s="3" t="str">
        <f t="shared" si="1"/>
        <v>December-2025</v>
      </c>
      <c r="G635" s="1">
        <v>16.0</v>
      </c>
      <c r="H635" s="1">
        <v>41400.0</v>
      </c>
      <c r="I635" s="1">
        <v>7288.0</v>
      </c>
      <c r="J635" s="1">
        <v>15250.0</v>
      </c>
      <c r="K635" s="1">
        <v>18862.0</v>
      </c>
    </row>
    <row r="636">
      <c r="A636" s="1" t="s">
        <v>11</v>
      </c>
      <c r="B636" s="1" t="s">
        <v>646</v>
      </c>
      <c r="C636" s="1" t="s">
        <v>13</v>
      </c>
      <c r="D636" s="2">
        <v>46016.714733796296</v>
      </c>
      <c r="E636" s="3">
        <v>46016.0</v>
      </c>
      <c r="F636" s="3" t="str">
        <f t="shared" si="1"/>
        <v>December-2025</v>
      </c>
      <c r="G636" s="1">
        <v>17.0</v>
      </c>
      <c r="H636" s="1">
        <v>45400.0</v>
      </c>
      <c r="I636" s="1">
        <v>8288.0</v>
      </c>
      <c r="J636" s="1">
        <v>15250.0</v>
      </c>
      <c r="K636" s="1">
        <v>21862.0</v>
      </c>
    </row>
    <row r="637">
      <c r="A637" s="1" t="s">
        <v>11</v>
      </c>
      <c r="B637" s="1" t="s">
        <v>647</v>
      </c>
      <c r="C637" s="1" t="s">
        <v>13</v>
      </c>
      <c r="D637" s="2">
        <v>46016.78439814815</v>
      </c>
      <c r="E637" s="3">
        <v>46016.0</v>
      </c>
      <c r="F637" s="3" t="str">
        <f t="shared" si="1"/>
        <v>December-2025</v>
      </c>
      <c r="G637" s="1">
        <v>18.0</v>
      </c>
      <c r="H637" s="1">
        <v>33000.0</v>
      </c>
      <c r="I637" s="1">
        <v>5623.0</v>
      </c>
      <c r="J637" s="1">
        <v>12511.0</v>
      </c>
      <c r="K637" s="1">
        <v>14866.0</v>
      </c>
    </row>
    <row r="638">
      <c r="A638" s="1" t="s">
        <v>11</v>
      </c>
      <c r="B638" s="1" t="s">
        <v>648</v>
      </c>
      <c r="C638" s="1" t="s">
        <v>13</v>
      </c>
      <c r="D638" s="2">
        <v>46016.81752314815</v>
      </c>
      <c r="E638" s="3">
        <v>46016.0</v>
      </c>
      <c r="F638" s="3" t="str">
        <f t="shared" si="1"/>
        <v>December-2025</v>
      </c>
      <c r="G638" s="1">
        <v>19.0</v>
      </c>
      <c r="H638" s="1">
        <v>55600.0</v>
      </c>
      <c r="I638" s="1">
        <v>10838.0</v>
      </c>
      <c r="J638" s="1">
        <v>16250.0</v>
      </c>
      <c r="K638" s="1">
        <v>28512.0</v>
      </c>
    </row>
    <row r="639">
      <c r="A639" s="1" t="s">
        <v>11</v>
      </c>
      <c r="B639" s="1" t="s">
        <v>649</v>
      </c>
      <c r="C639" s="1" t="s">
        <v>13</v>
      </c>
      <c r="D639" s="2">
        <v>46016.84527777778</v>
      </c>
      <c r="E639" s="3">
        <v>46016.0</v>
      </c>
      <c r="F639" s="3" t="str">
        <f t="shared" si="1"/>
        <v>December-2025</v>
      </c>
      <c r="G639" s="1">
        <v>20.0</v>
      </c>
      <c r="H639" s="1">
        <v>22900.0</v>
      </c>
      <c r="I639" s="1">
        <v>5725.0</v>
      </c>
      <c r="J639" s="1">
        <v>0.0</v>
      </c>
      <c r="K639" s="1">
        <v>17175.0</v>
      </c>
    </row>
    <row r="640">
      <c r="A640" s="1" t="s">
        <v>11</v>
      </c>
      <c r="B640" s="1" t="s">
        <v>650</v>
      </c>
      <c r="C640" s="1" t="s">
        <v>13</v>
      </c>
      <c r="D640" s="2">
        <v>46016.87021990741</v>
      </c>
      <c r="E640" s="3">
        <v>46016.0</v>
      </c>
      <c r="F640" s="3" t="str">
        <f t="shared" si="1"/>
        <v>December-2025</v>
      </c>
      <c r="G640" s="1">
        <v>20.0</v>
      </c>
      <c r="H640" s="1">
        <v>38600.0</v>
      </c>
      <c r="I640" s="1">
        <v>6588.0</v>
      </c>
      <c r="J640" s="1">
        <v>14250.0</v>
      </c>
      <c r="K640" s="1">
        <v>17762.0</v>
      </c>
    </row>
    <row r="641">
      <c r="A641" s="1" t="s">
        <v>11</v>
      </c>
      <c r="B641" s="1" t="s">
        <v>651</v>
      </c>
      <c r="C641" s="1" t="s">
        <v>13</v>
      </c>
      <c r="D641" s="2">
        <v>46016.89776620371</v>
      </c>
      <c r="E641" s="3">
        <v>46016.0</v>
      </c>
      <c r="F641" s="3" t="str">
        <f t="shared" si="1"/>
        <v>December-2025</v>
      </c>
      <c r="G641" s="1">
        <v>21.0</v>
      </c>
      <c r="H641" s="1">
        <v>22900.0</v>
      </c>
      <c r="I641" s="1">
        <v>4603.0</v>
      </c>
      <c r="J641" s="1">
        <v>4489.0</v>
      </c>
      <c r="K641" s="1">
        <v>13808.0</v>
      </c>
    </row>
    <row r="642">
      <c r="A642" s="1" t="s">
        <v>11</v>
      </c>
      <c r="B642" s="1" t="s">
        <v>652</v>
      </c>
      <c r="C642" s="1" t="s">
        <v>13</v>
      </c>
      <c r="D642" s="2">
        <v>46016.91289351852</v>
      </c>
      <c r="E642" s="3">
        <v>46016.0</v>
      </c>
      <c r="F642" s="3" t="str">
        <f t="shared" si="1"/>
        <v>December-2025</v>
      </c>
      <c r="G642" s="1">
        <v>21.0</v>
      </c>
      <c r="H642" s="1">
        <v>32700.0</v>
      </c>
      <c r="I642" s="1">
        <v>5572.0</v>
      </c>
      <c r="J642" s="1">
        <v>12415.0</v>
      </c>
      <c r="K642" s="1">
        <v>14713.0</v>
      </c>
    </row>
    <row r="643">
      <c r="A643" s="1" t="s">
        <v>11</v>
      </c>
      <c r="B643" s="1" t="s">
        <v>653</v>
      </c>
      <c r="C643" s="1" t="s">
        <v>13</v>
      </c>
      <c r="D643" s="2">
        <v>46016.94133101852</v>
      </c>
      <c r="E643" s="3">
        <v>46016.0</v>
      </c>
      <c r="F643" s="3" t="str">
        <f t="shared" si="1"/>
        <v>December-2025</v>
      </c>
      <c r="G643" s="1">
        <v>22.0</v>
      </c>
      <c r="H643" s="1">
        <v>36400.0</v>
      </c>
      <c r="I643" s="1">
        <v>6202.0</v>
      </c>
      <c r="J643" s="1">
        <v>13594.0</v>
      </c>
      <c r="K643" s="1">
        <v>16604.0</v>
      </c>
    </row>
    <row r="644">
      <c r="A644" s="1" t="s">
        <v>11</v>
      </c>
      <c r="B644" s="1" t="s">
        <v>654</v>
      </c>
      <c r="C644" s="1" t="s">
        <v>13</v>
      </c>
      <c r="D644" s="2">
        <v>46017.46931712963</v>
      </c>
      <c r="E644" s="3">
        <v>46017.0</v>
      </c>
      <c r="F644" s="3" t="str">
        <f t="shared" si="1"/>
        <v>December-2025</v>
      </c>
      <c r="G644" s="1">
        <v>11.0</v>
      </c>
      <c r="H644" s="1">
        <v>41000.0</v>
      </c>
      <c r="I644" s="1">
        <v>7188.0</v>
      </c>
      <c r="J644" s="1">
        <v>15250.0</v>
      </c>
      <c r="K644" s="1">
        <v>18562.0</v>
      </c>
    </row>
    <row r="645">
      <c r="A645" s="1" t="s">
        <v>11</v>
      </c>
      <c r="B645" s="1" t="s">
        <v>655</v>
      </c>
      <c r="C645" s="1" t="s">
        <v>13</v>
      </c>
      <c r="D645" s="2">
        <v>46017.47510416667</v>
      </c>
      <c r="E645" s="3">
        <v>46017.0</v>
      </c>
      <c r="F645" s="3" t="str">
        <f t="shared" si="1"/>
        <v>December-2025</v>
      </c>
      <c r="G645" s="1">
        <v>11.0</v>
      </c>
      <c r="H645" s="1">
        <v>32700.0</v>
      </c>
      <c r="I645" s="1">
        <v>5572.0</v>
      </c>
      <c r="J645" s="1">
        <v>12415.0</v>
      </c>
      <c r="K645" s="1">
        <v>14713.0</v>
      </c>
    </row>
    <row r="646">
      <c r="A646" s="1" t="s">
        <v>11</v>
      </c>
      <c r="B646" s="1" t="s">
        <v>656</v>
      </c>
      <c r="C646" s="1" t="s">
        <v>13</v>
      </c>
      <c r="D646" s="2">
        <v>46017.49733796297</v>
      </c>
      <c r="E646" s="3">
        <v>46017.0</v>
      </c>
      <c r="F646" s="3" t="str">
        <f t="shared" si="1"/>
        <v>December-2025</v>
      </c>
      <c r="G646" s="1">
        <v>11.0</v>
      </c>
      <c r="H646" s="1">
        <v>50600.0</v>
      </c>
      <c r="I646" s="1">
        <v>9588.0</v>
      </c>
      <c r="J646" s="1">
        <v>16250.0</v>
      </c>
      <c r="K646" s="1">
        <v>24762.0</v>
      </c>
    </row>
    <row r="647">
      <c r="A647" s="1" t="s">
        <v>11</v>
      </c>
      <c r="B647" s="1" t="s">
        <v>657</v>
      </c>
      <c r="C647" s="1" t="s">
        <v>13</v>
      </c>
      <c r="D647" s="2">
        <v>46017.50475694444</v>
      </c>
      <c r="E647" s="3">
        <v>46017.0</v>
      </c>
      <c r="F647" s="3" t="str">
        <f t="shared" si="1"/>
        <v>December-2025</v>
      </c>
      <c r="G647" s="1">
        <v>12.0</v>
      </c>
      <c r="H647" s="1">
        <v>46800.0</v>
      </c>
      <c r="I647" s="1">
        <v>8638.0</v>
      </c>
      <c r="J647" s="1">
        <v>15250.0</v>
      </c>
      <c r="K647" s="1">
        <v>22912.0</v>
      </c>
    </row>
    <row r="648">
      <c r="A648" s="1" t="s">
        <v>11</v>
      </c>
      <c r="B648" s="1" t="s">
        <v>658</v>
      </c>
      <c r="C648" s="1" t="s">
        <v>13</v>
      </c>
      <c r="D648" s="2">
        <v>46017.54010416667</v>
      </c>
      <c r="E648" s="3">
        <v>46017.0</v>
      </c>
      <c r="F648" s="3" t="str">
        <f t="shared" si="1"/>
        <v>December-2025</v>
      </c>
      <c r="G648" s="1">
        <v>12.0</v>
      </c>
      <c r="H648" s="1">
        <v>30100.0</v>
      </c>
      <c r="I648" s="1">
        <v>5129.0</v>
      </c>
      <c r="J648" s="1">
        <v>11587.0</v>
      </c>
      <c r="K648" s="1">
        <v>13384.0</v>
      </c>
    </row>
    <row r="649">
      <c r="A649" s="1" t="s">
        <v>11</v>
      </c>
      <c r="B649" s="1" t="s">
        <v>659</v>
      </c>
      <c r="C649" s="1" t="s">
        <v>13</v>
      </c>
      <c r="D649" s="2">
        <v>46017.540289351855</v>
      </c>
      <c r="E649" s="3">
        <v>46017.0</v>
      </c>
      <c r="F649" s="3" t="str">
        <f t="shared" si="1"/>
        <v>December-2025</v>
      </c>
      <c r="G649" s="1">
        <v>12.0</v>
      </c>
      <c r="H649" s="1">
        <v>41200.0</v>
      </c>
      <c r="I649" s="1">
        <v>7238.0</v>
      </c>
      <c r="J649" s="1">
        <v>15250.0</v>
      </c>
      <c r="K649" s="1">
        <v>18712.0</v>
      </c>
    </row>
    <row r="650">
      <c r="A650" s="1" t="s">
        <v>11</v>
      </c>
      <c r="B650" s="1" t="s">
        <v>660</v>
      </c>
      <c r="C650" s="1" t="s">
        <v>13</v>
      </c>
      <c r="D650" s="2">
        <v>46017.55510416667</v>
      </c>
      <c r="E650" s="3">
        <v>46017.0</v>
      </c>
      <c r="F650" s="3" t="str">
        <f t="shared" si="1"/>
        <v>December-2025</v>
      </c>
      <c r="G650" s="1">
        <v>13.0</v>
      </c>
      <c r="H650" s="1">
        <v>25300.0</v>
      </c>
      <c r="I650" s="1">
        <v>5100.0</v>
      </c>
      <c r="J650" s="1">
        <v>4900.0</v>
      </c>
      <c r="K650" s="1">
        <v>15300.0</v>
      </c>
    </row>
    <row r="651">
      <c r="A651" s="1" t="s">
        <v>11</v>
      </c>
      <c r="B651" s="1" t="s">
        <v>661</v>
      </c>
      <c r="C651" s="1" t="s">
        <v>13</v>
      </c>
      <c r="D651" s="2">
        <v>46017.58775462963</v>
      </c>
      <c r="E651" s="3">
        <v>46017.0</v>
      </c>
      <c r="F651" s="3" t="str">
        <f t="shared" si="1"/>
        <v>December-2025</v>
      </c>
      <c r="G651" s="1">
        <v>14.0</v>
      </c>
      <c r="H651" s="1">
        <v>45800.0</v>
      </c>
      <c r="I651" s="1">
        <v>8388.0</v>
      </c>
      <c r="J651" s="1">
        <v>15250.0</v>
      </c>
      <c r="K651" s="1">
        <v>22162.0</v>
      </c>
    </row>
    <row r="652">
      <c r="A652" s="1" t="s">
        <v>11</v>
      </c>
      <c r="B652" s="1" t="s">
        <v>662</v>
      </c>
      <c r="C652" s="1" t="s">
        <v>13</v>
      </c>
      <c r="D652" s="2">
        <v>46017.61263888889</v>
      </c>
      <c r="E652" s="3">
        <v>46017.0</v>
      </c>
      <c r="F652" s="3" t="str">
        <f t="shared" si="1"/>
        <v>December-2025</v>
      </c>
      <c r="G652" s="1">
        <v>14.0</v>
      </c>
      <c r="H652" s="1">
        <v>45000.0</v>
      </c>
      <c r="I652" s="1">
        <v>8188.0</v>
      </c>
      <c r="J652" s="1">
        <v>15250.0</v>
      </c>
      <c r="K652" s="1">
        <v>21562.0</v>
      </c>
    </row>
    <row r="653">
      <c r="A653" s="1" t="s">
        <v>11</v>
      </c>
      <c r="B653" s="1" t="s">
        <v>663</v>
      </c>
      <c r="C653" s="1" t="s">
        <v>13</v>
      </c>
      <c r="D653" s="2">
        <v>46017.616527777776</v>
      </c>
      <c r="E653" s="3">
        <v>46017.0</v>
      </c>
      <c r="F653" s="3" t="str">
        <f t="shared" si="1"/>
        <v>December-2025</v>
      </c>
      <c r="G653" s="1">
        <v>14.0</v>
      </c>
      <c r="H653" s="1">
        <v>22900.0</v>
      </c>
      <c r="I653" s="1">
        <v>4603.0</v>
      </c>
      <c r="J653" s="1">
        <v>4489.0</v>
      </c>
      <c r="K653" s="1">
        <v>13808.0</v>
      </c>
    </row>
    <row r="654">
      <c r="A654" s="1" t="s">
        <v>11</v>
      </c>
      <c r="B654" s="1" t="s">
        <v>664</v>
      </c>
      <c r="C654" s="1" t="s">
        <v>13</v>
      </c>
      <c r="D654" s="2">
        <v>46017.657546296294</v>
      </c>
      <c r="E654" s="3">
        <v>46017.0</v>
      </c>
      <c r="F654" s="3" t="str">
        <f t="shared" si="1"/>
        <v>December-2025</v>
      </c>
      <c r="G654" s="1">
        <v>15.0</v>
      </c>
      <c r="H654" s="1">
        <v>36300.0</v>
      </c>
      <c r="I654" s="1">
        <v>6185.0</v>
      </c>
      <c r="J654" s="1">
        <v>13562.0</v>
      </c>
      <c r="K654" s="1">
        <v>16553.0</v>
      </c>
    </row>
    <row r="655">
      <c r="A655" s="1" t="s">
        <v>11</v>
      </c>
      <c r="B655" s="1" t="s">
        <v>665</v>
      </c>
      <c r="C655" s="1" t="s">
        <v>13</v>
      </c>
      <c r="D655" s="2">
        <v>46017.73480324074</v>
      </c>
      <c r="E655" s="3">
        <v>46017.0</v>
      </c>
      <c r="F655" s="3" t="str">
        <f t="shared" si="1"/>
        <v>December-2025</v>
      </c>
      <c r="G655" s="1">
        <v>17.0</v>
      </c>
      <c r="H655" s="1">
        <v>38900.0</v>
      </c>
      <c r="I655" s="1">
        <v>6663.0</v>
      </c>
      <c r="J655" s="1">
        <v>14250.0</v>
      </c>
      <c r="K655" s="1">
        <v>17987.0</v>
      </c>
    </row>
    <row r="656">
      <c r="A656" s="1" t="s">
        <v>11</v>
      </c>
      <c r="B656" s="1" t="s">
        <v>666</v>
      </c>
      <c r="C656" s="1" t="s">
        <v>13</v>
      </c>
      <c r="D656" s="2">
        <v>46017.85136574074</v>
      </c>
      <c r="E656" s="3">
        <v>46017.0</v>
      </c>
      <c r="F656" s="3" t="str">
        <f t="shared" si="1"/>
        <v>December-2025</v>
      </c>
      <c r="G656" s="1">
        <v>20.0</v>
      </c>
      <c r="H656" s="1">
        <v>35800.0</v>
      </c>
      <c r="I656" s="1">
        <v>6100.0</v>
      </c>
      <c r="J656" s="1">
        <v>13403.0</v>
      </c>
      <c r="K656" s="1">
        <v>16297.0</v>
      </c>
    </row>
    <row r="657">
      <c r="A657" s="1" t="s">
        <v>11</v>
      </c>
      <c r="B657" s="1" t="s">
        <v>667</v>
      </c>
      <c r="C657" s="1" t="s">
        <v>13</v>
      </c>
      <c r="D657" s="2">
        <v>46017.85141203704</v>
      </c>
      <c r="E657" s="3">
        <v>46017.0</v>
      </c>
      <c r="F657" s="3" t="str">
        <f t="shared" si="1"/>
        <v>December-2025</v>
      </c>
      <c r="G657" s="1">
        <v>20.0</v>
      </c>
      <c r="H657" s="1">
        <v>37200.0</v>
      </c>
      <c r="I657" s="1">
        <v>6338.0</v>
      </c>
      <c r="J657" s="1">
        <v>11849.0</v>
      </c>
      <c r="K657" s="1">
        <v>19013.0</v>
      </c>
    </row>
    <row r="658">
      <c r="A658" s="1" t="s">
        <v>11</v>
      </c>
      <c r="B658" s="1" t="s">
        <v>668</v>
      </c>
      <c r="C658" s="1" t="s">
        <v>13</v>
      </c>
      <c r="D658" s="2">
        <v>46017.91396990741</v>
      </c>
      <c r="E658" s="3">
        <v>46017.0</v>
      </c>
      <c r="F658" s="3" t="str">
        <f t="shared" si="1"/>
        <v>December-2025</v>
      </c>
      <c r="G658" s="1">
        <v>21.0</v>
      </c>
      <c r="H658" s="1">
        <v>32700.0</v>
      </c>
      <c r="I658" s="1">
        <v>5572.0</v>
      </c>
      <c r="J658" s="1">
        <v>12415.0</v>
      </c>
      <c r="K658" s="1">
        <v>14713.0</v>
      </c>
    </row>
    <row r="659">
      <c r="A659" s="1" t="s">
        <v>11</v>
      </c>
      <c r="B659" s="1" t="s">
        <v>669</v>
      </c>
      <c r="C659" s="1" t="s">
        <v>13</v>
      </c>
      <c r="D659" s="2">
        <v>46017.92236111111</v>
      </c>
      <c r="E659" s="3">
        <v>46017.0</v>
      </c>
      <c r="F659" s="3" t="str">
        <f t="shared" si="1"/>
        <v>December-2025</v>
      </c>
      <c r="G659" s="1">
        <v>22.0</v>
      </c>
      <c r="H659" s="1">
        <v>35800.0</v>
      </c>
      <c r="I659" s="1">
        <v>8950.0</v>
      </c>
      <c r="J659" s="1">
        <v>0.0</v>
      </c>
      <c r="K659" s="1">
        <v>26850.0</v>
      </c>
    </row>
    <row r="660">
      <c r="A660" s="1" t="s">
        <v>11</v>
      </c>
      <c r="B660" s="1" t="s">
        <v>670</v>
      </c>
      <c r="C660" s="1" t="s">
        <v>13</v>
      </c>
      <c r="D660" s="2">
        <v>46018.49145833333</v>
      </c>
      <c r="E660" s="3">
        <v>46018.0</v>
      </c>
      <c r="F660" s="3" t="str">
        <f t="shared" si="1"/>
        <v>December-2025</v>
      </c>
      <c r="G660" s="1">
        <v>11.0</v>
      </c>
      <c r="H660" s="1">
        <v>41000.0</v>
      </c>
      <c r="I660" s="1">
        <v>7188.0</v>
      </c>
      <c r="J660" s="1">
        <v>15250.0</v>
      </c>
      <c r="K660" s="1">
        <v>18562.0</v>
      </c>
    </row>
    <row r="661">
      <c r="A661" s="1" t="s">
        <v>11</v>
      </c>
      <c r="B661" s="1" t="s">
        <v>671</v>
      </c>
      <c r="C661" s="1" t="s">
        <v>13</v>
      </c>
      <c r="D661" s="2">
        <v>46018.509664351855</v>
      </c>
      <c r="E661" s="3">
        <v>46018.0</v>
      </c>
      <c r="F661" s="3" t="str">
        <f t="shared" si="1"/>
        <v>December-2025</v>
      </c>
      <c r="G661" s="1">
        <v>12.0</v>
      </c>
      <c r="H661" s="1">
        <v>45800.0</v>
      </c>
      <c r="I661" s="1">
        <v>8388.0</v>
      </c>
      <c r="J661" s="1">
        <v>15250.0</v>
      </c>
      <c r="K661" s="1">
        <v>22162.0</v>
      </c>
    </row>
    <row r="662">
      <c r="A662" s="1" t="s">
        <v>11</v>
      </c>
      <c r="B662" s="1" t="s">
        <v>672</v>
      </c>
      <c r="C662" s="1" t="s">
        <v>13</v>
      </c>
      <c r="D662" s="2">
        <v>46018.53204861111</v>
      </c>
      <c r="E662" s="3">
        <v>46018.0</v>
      </c>
      <c r="F662" s="3" t="str">
        <f t="shared" si="1"/>
        <v>December-2025</v>
      </c>
      <c r="G662" s="1">
        <v>12.0</v>
      </c>
      <c r="H662" s="1">
        <v>33800.0</v>
      </c>
      <c r="I662" s="1">
        <v>5759.0</v>
      </c>
      <c r="J662" s="1">
        <v>12766.0</v>
      </c>
      <c r="K662" s="1">
        <v>15275.0</v>
      </c>
    </row>
    <row r="663">
      <c r="A663" s="1" t="s">
        <v>11</v>
      </c>
      <c r="B663" s="1" t="s">
        <v>673</v>
      </c>
      <c r="C663" s="1" t="s">
        <v>13</v>
      </c>
      <c r="D663" s="2">
        <v>46018.534791666665</v>
      </c>
      <c r="E663" s="3">
        <v>46018.0</v>
      </c>
      <c r="F663" s="3" t="str">
        <f t="shared" si="1"/>
        <v>December-2025</v>
      </c>
      <c r="G663" s="1">
        <v>12.0</v>
      </c>
      <c r="H663" s="1">
        <v>109900.0</v>
      </c>
      <c r="I663" s="1">
        <v>20991.0</v>
      </c>
      <c r="J663" s="1">
        <v>34937.0</v>
      </c>
      <c r="K663" s="1">
        <v>53972.0</v>
      </c>
    </row>
    <row r="664">
      <c r="A664" s="1" t="s">
        <v>11</v>
      </c>
      <c r="B664" s="1" t="s">
        <v>674</v>
      </c>
      <c r="C664" s="1" t="s">
        <v>13</v>
      </c>
      <c r="D664" s="2">
        <v>46018.55734953703</v>
      </c>
      <c r="E664" s="3">
        <v>46018.0</v>
      </c>
      <c r="F664" s="3" t="str">
        <f t="shared" si="1"/>
        <v>December-2025</v>
      </c>
      <c r="G664" s="1">
        <v>13.0</v>
      </c>
      <c r="H664" s="1">
        <v>22900.0</v>
      </c>
      <c r="I664" s="1">
        <v>4603.0</v>
      </c>
      <c r="J664" s="1">
        <v>4489.0</v>
      </c>
      <c r="K664" s="1">
        <v>13808.0</v>
      </c>
    </row>
    <row r="665">
      <c r="A665" s="1" t="s">
        <v>11</v>
      </c>
      <c r="B665" s="1" t="s">
        <v>675</v>
      </c>
      <c r="C665" s="1" t="s">
        <v>13</v>
      </c>
      <c r="D665" s="2">
        <v>46018.590208333335</v>
      </c>
      <c r="E665" s="3">
        <v>46018.0</v>
      </c>
      <c r="F665" s="3" t="str">
        <f t="shared" si="1"/>
        <v>December-2025</v>
      </c>
      <c r="G665" s="1">
        <v>14.0</v>
      </c>
      <c r="H665" s="1">
        <v>40400.0</v>
      </c>
      <c r="I665" s="1">
        <v>7038.0</v>
      </c>
      <c r="J665" s="1">
        <v>15250.0</v>
      </c>
      <c r="K665" s="1">
        <v>18112.0</v>
      </c>
    </row>
    <row r="666">
      <c r="A666" s="1" t="s">
        <v>11</v>
      </c>
      <c r="B666" s="1" t="s">
        <v>676</v>
      </c>
      <c r="C666" s="1" t="s">
        <v>13</v>
      </c>
      <c r="D666" s="2">
        <v>46018.605474537035</v>
      </c>
      <c r="E666" s="3">
        <v>46018.0</v>
      </c>
      <c r="F666" s="3" t="str">
        <f t="shared" si="1"/>
        <v>December-2025</v>
      </c>
      <c r="G666" s="1">
        <v>14.0</v>
      </c>
      <c r="H666" s="1">
        <v>39700.0</v>
      </c>
      <c r="I666" s="1">
        <v>6863.0</v>
      </c>
      <c r="J666" s="1">
        <v>14250.0</v>
      </c>
      <c r="K666" s="1">
        <v>18587.0</v>
      </c>
    </row>
    <row r="667">
      <c r="A667" s="1" t="s">
        <v>11</v>
      </c>
      <c r="B667" s="1" t="s">
        <v>677</v>
      </c>
      <c r="C667" s="1" t="s">
        <v>13</v>
      </c>
      <c r="D667" s="2">
        <v>46018.62063657407</v>
      </c>
      <c r="E667" s="3">
        <v>46018.0</v>
      </c>
      <c r="F667" s="3" t="str">
        <f t="shared" si="1"/>
        <v>December-2025</v>
      </c>
      <c r="G667" s="1">
        <v>14.0</v>
      </c>
      <c r="H667" s="1">
        <v>52900.0</v>
      </c>
      <c r="I667" s="1">
        <v>10163.0</v>
      </c>
      <c r="J667" s="1">
        <v>16250.0</v>
      </c>
      <c r="K667" s="1">
        <v>26487.0</v>
      </c>
    </row>
    <row r="668">
      <c r="A668" s="1" t="s">
        <v>11</v>
      </c>
      <c r="B668" s="1" t="s">
        <v>678</v>
      </c>
      <c r="C668" s="1" t="s">
        <v>13</v>
      </c>
      <c r="D668" s="2">
        <v>46018.646689814814</v>
      </c>
      <c r="E668" s="3">
        <v>46018.0</v>
      </c>
      <c r="F668" s="3" t="str">
        <f t="shared" si="1"/>
        <v>December-2025</v>
      </c>
      <c r="G668" s="1">
        <v>15.0</v>
      </c>
      <c r="H668" s="1">
        <v>30700.0</v>
      </c>
      <c r="I668" s="1">
        <v>5231.0</v>
      </c>
      <c r="J668" s="1">
        <v>11778.0</v>
      </c>
      <c r="K668" s="1">
        <v>13691.0</v>
      </c>
    </row>
    <row r="669">
      <c r="A669" s="1" t="s">
        <v>11</v>
      </c>
      <c r="B669" s="1" t="s">
        <v>679</v>
      </c>
      <c r="C669" s="1" t="s">
        <v>13</v>
      </c>
      <c r="D669" s="2">
        <v>46018.648125</v>
      </c>
      <c r="E669" s="3">
        <v>46018.0</v>
      </c>
      <c r="F669" s="3" t="str">
        <f t="shared" si="1"/>
        <v>December-2025</v>
      </c>
      <c r="G669" s="1">
        <v>15.0</v>
      </c>
      <c r="H669" s="1">
        <v>54500.0</v>
      </c>
      <c r="I669" s="1">
        <v>10563.0</v>
      </c>
      <c r="J669" s="1">
        <v>16250.0</v>
      </c>
      <c r="K669" s="1">
        <v>27687.0</v>
      </c>
    </row>
    <row r="670">
      <c r="A670" s="1" t="s">
        <v>11</v>
      </c>
      <c r="B670" s="1" t="s">
        <v>680</v>
      </c>
      <c r="C670" s="1" t="s">
        <v>13</v>
      </c>
      <c r="D670" s="2">
        <v>46018.69996527778</v>
      </c>
      <c r="E670" s="3">
        <v>46018.0</v>
      </c>
      <c r="F670" s="3" t="str">
        <f t="shared" si="1"/>
        <v>December-2025</v>
      </c>
      <c r="G670" s="1">
        <v>16.0</v>
      </c>
      <c r="H670" s="1">
        <v>25300.0</v>
      </c>
      <c r="I670" s="1">
        <v>6325.0</v>
      </c>
      <c r="J670" s="1">
        <v>0.0</v>
      </c>
      <c r="K670" s="1">
        <v>18975.0</v>
      </c>
    </row>
    <row r="671">
      <c r="A671" s="1" t="s">
        <v>11</v>
      </c>
      <c r="B671" s="1" t="s">
        <v>681</v>
      </c>
      <c r="C671" s="1" t="s">
        <v>13</v>
      </c>
      <c r="D671" s="2">
        <v>46018.70071759259</v>
      </c>
      <c r="E671" s="3">
        <v>46018.0</v>
      </c>
      <c r="F671" s="3" t="str">
        <f t="shared" si="1"/>
        <v>December-2025</v>
      </c>
      <c r="G671" s="1">
        <v>16.0</v>
      </c>
      <c r="H671" s="1">
        <v>22900.0</v>
      </c>
      <c r="I671" s="1">
        <v>4603.0</v>
      </c>
      <c r="J671" s="1">
        <v>4489.0</v>
      </c>
      <c r="K671" s="1">
        <v>13808.0</v>
      </c>
    </row>
    <row r="672">
      <c r="A672" s="1" t="s">
        <v>11</v>
      </c>
      <c r="B672" s="1" t="s">
        <v>682</v>
      </c>
      <c r="C672" s="1" t="s">
        <v>13</v>
      </c>
      <c r="D672" s="2">
        <v>46018.70695601852</v>
      </c>
      <c r="E672" s="3">
        <v>46018.0</v>
      </c>
      <c r="F672" s="3" t="str">
        <f t="shared" si="1"/>
        <v>December-2025</v>
      </c>
      <c r="G672" s="1">
        <v>16.0</v>
      </c>
      <c r="H672" s="1">
        <v>40400.0</v>
      </c>
      <c r="I672" s="1">
        <v>7038.0</v>
      </c>
      <c r="J672" s="1">
        <v>15250.0</v>
      </c>
      <c r="K672" s="1">
        <v>18112.0</v>
      </c>
    </row>
    <row r="673">
      <c r="A673" s="1" t="s">
        <v>11</v>
      </c>
      <c r="B673" s="1" t="s">
        <v>683</v>
      </c>
      <c r="C673" s="1" t="s">
        <v>13</v>
      </c>
      <c r="D673" s="2">
        <v>46018.810960648145</v>
      </c>
      <c r="E673" s="3">
        <v>46018.0</v>
      </c>
      <c r="F673" s="3" t="str">
        <f t="shared" si="1"/>
        <v>December-2025</v>
      </c>
      <c r="G673" s="1">
        <v>19.0</v>
      </c>
      <c r="H673" s="1">
        <v>37000.0</v>
      </c>
      <c r="I673" s="1">
        <v>6304.0</v>
      </c>
      <c r="J673" s="1">
        <v>13785.0</v>
      </c>
      <c r="K673" s="1">
        <v>16911.0</v>
      </c>
    </row>
    <row r="674">
      <c r="A674" s="1" t="s">
        <v>11</v>
      </c>
      <c r="B674" s="1" t="s">
        <v>684</v>
      </c>
      <c r="C674" s="1" t="s">
        <v>13</v>
      </c>
      <c r="D674" s="2">
        <v>46018.82813657408</v>
      </c>
      <c r="E674" s="3">
        <v>46018.0</v>
      </c>
      <c r="F674" s="3" t="str">
        <f t="shared" si="1"/>
        <v>December-2025</v>
      </c>
      <c r="G674" s="1">
        <v>19.0</v>
      </c>
      <c r="H674" s="1">
        <v>80200.0</v>
      </c>
      <c r="I674" s="1">
        <v>15318.0</v>
      </c>
      <c r="J674" s="1">
        <v>22928.0</v>
      </c>
      <c r="K674" s="1">
        <v>41954.0</v>
      </c>
    </row>
    <row r="675">
      <c r="A675" s="1" t="s">
        <v>11</v>
      </c>
      <c r="B675" s="1" t="s">
        <v>685</v>
      </c>
      <c r="C675" s="1" t="s">
        <v>13</v>
      </c>
      <c r="D675" s="2">
        <v>46018.838368055556</v>
      </c>
      <c r="E675" s="3">
        <v>46018.0</v>
      </c>
      <c r="F675" s="3" t="str">
        <f t="shared" si="1"/>
        <v>December-2025</v>
      </c>
      <c r="G675" s="1">
        <v>20.0</v>
      </c>
      <c r="H675" s="1">
        <v>32700.0</v>
      </c>
      <c r="I675" s="1">
        <v>5572.0</v>
      </c>
      <c r="J675" s="1">
        <v>12415.0</v>
      </c>
      <c r="K675" s="1">
        <v>14713.0</v>
      </c>
    </row>
    <row r="676">
      <c r="A676" s="1" t="s">
        <v>11</v>
      </c>
      <c r="B676" s="1" t="s">
        <v>686</v>
      </c>
      <c r="C676" s="1" t="s">
        <v>13</v>
      </c>
      <c r="D676" s="2">
        <v>46018.841412037036</v>
      </c>
      <c r="E676" s="3">
        <v>46018.0</v>
      </c>
      <c r="F676" s="3" t="str">
        <f t="shared" si="1"/>
        <v>December-2025</v>
      </c>
      <c r="G676" s="1">
        <v>20.0</v>
      </c>
      <c r="H676" s="1">
        <v>30700.0</v>
      </c>
      <c r="I676" s="1">
        <v>5231.0</v>
      </c>
      <c r="J676" s="1">
        <v>11778.0</v>
      </c>
      <c r="K676" s="1">
        <v>13691.0</v>
      </c>
    </row>
    <row r="677">
      <c r="A677" s="1" t="s">
        <v>11</v>
      </c>
      <c r="B677" s="1" t="s">
        <v>687</v>
      </c>
      <c r="C677" s="1" t="s">
        <v>13</v>
      </c>
      <c r="D677" s="2">
        <v>46018.8569212963</v>
      </c>
      <c r="E677" s="3">
        <v>46018.0</v>
      </c>
      <c r="F677" s="3" t="str">
        <f t="shared" si="1"/>
        <v>December-2025</v>
      </c>
      <c r="G677" s="1">
        <v>20.0</v>
      </c>
      <c r="H677" s="1">
        <v>23400.0</v>
      </c>
      <c r="I677" s="1">
        <v>5850.0</v>
      </c>
      <c r="J677" s="1">
        <v>0.0</v>
      </c>
      <c r="K677" s="1">
        <v>17550.0</v>
      </c>
    </row>
    <row r="678">
      <c r="A678" s="1" t="s">
        <v>11</v>
      </c>
      <c r="B678" s="1" t="s">
        <v>688</v>
      </c>
      <c r="C678" s="1" t="s">
        <v>13</v>
      </c>
      <c r="D678" s="2">
        <v>46018.89270833333</v>
      </c>
      <c r="E678" s="3">
        <v>46018.0</v>
      </c>
      <c r="F678" s="3" t="str">
        <f t="shared" si="1"/>
        <v>December-2025</v>
      </c>
      <c r="G678" s="1">
        <v>21.0</v>
      </c>
      <c r="H678" s="1">
        <v>32700.0</v>
      </c>
      <c r="I678" s="1">
        <v>5572.0</v>
      </c>
      <c r="J678" s="1">
        <v>12415.0</v>
      </c>
      <c r="K678" s="1">
        <v>14713.0</v>
      </c>
    </row>
    <row r="679">
      <c r="A679" s="1" t="s">
        <v>11</v>
      </c>
      <c r="B679" s="1" t="s">
        <v>689</v>
      </c>
      <c r="C679" s="1" t="s">
        <v>13</v>
      </c>
      <c r="D679" s="2">
        <v>46018.90043981482</v>
      </c>
      <c r="E679" s="3">
        <v>46018.0</v>
      </c>
      <c r="F679" s="3" t="str">
        <f t="shared" si="1"/>
        <v>December-2025</v>
      </c>
      <c r="G679" s="1">
        <v>21.0</v>
      </c>
      <c r="H679" s="1">
        <v>40800.0</v>
      </c>
      <c r="I679" s="1">
        <v>7138.0</v>
      </c>
      <c r="J679" s="1">
        <v>15250.0</v>
      </c>
      <c r="K679" s="1">
        <v>18412.0</v>
      </c>
    </row>
    <row r="680">
      <c r="A680" s="1" t="s">
        <v>11</v>
      </c>
      <c r="B680" s="1" t="s">
        <v>690</v>
      </c>
      <c r="C680" s="1" t="s">
        <v>13</v>
      </c>
      <c r="D680" s="2">
        <v>46018.9065162037</v>
      </c>
      <c r="E680" s="3">
        <v>46018.0</v>
      </c>
      <c r="F680" s="3" t="str">
        <f t="shared" si="1"/>
        <v>December-2025</v>
      </c>
      <c r="G680" s="1">
        <v>21.0</v>
      </c>
      <c r="H680" s="1">
        <v>22900.0</v>
      </c>
      <c r="I680" s="1">
        <v>4603.0</v>
      </c>
      <c r="J680" s="1">
        <v>4489.0</v>
      </c>
      <c r="K680" s="1">
        <v>13808.0</v>
      </c>
    </row>
    <row r="681">
      <c r="A681" s="1" t="s">
        <v>11</v>
      </c>
      <c r="B681" s="1" t="s">
        <v>691</v>
      </c>
      <c r="C681" s="1" t="s">
        <v>13</v>
      </c>
      <c r="D681" s="2">
        <v>46018.919953703706</v>
      </c>
      <c r="E681" s="3">
        <v>46018.0</v>
      </c>
      <c r="F681" s="3" t="str">
        <f t="shared" si="1"/>
        <v>December-2025</v>
      </c>
      <c r="G681" s="1">
        <v>22.0</v>
      </c>
      <c r="H681" s="1">
        <v>18500.0</v>
      </c>
      <c r="I681" s="1">
        <v>3719.0</v>
      </c>
      <c r="J681" s="1">
        <v>3626.0</v>
      </c>
      <c r="K681" s="1">
        <v>11155.0</v>
      </c>
    </row>
    <row r="682">
      <c r="A682" s="1" t="s">
        <v>11</v>
      </c>
      <c r="B682" s="1" t="s">
        <v>692</v>
      </c>
      <c r="C682" s="1" t="s">
        <v>13</v>
      </c>
      <c r="D682" s="2">
        <v>46018.92040509259</v>
      </c>
      <c r="E682" s="3">
        <v>46018.0</v>
      </c>
      <c r="F682" s="3" t="str">
        <f t="shared" si="1"/>
        <v>December-2025</v>
      </c>
      <c r="G682" s="1">
        <v>22.0</v>
      </c>
      <c r="H682" s="1">
        <v>33400.0</v>
      </c>
      <c r="I682" s="1">
        <v>5691.0</v>
      </c>
      <c r="J682" s="1">
        <v>12638.0</v>
      </c>
      <c r="K682" s="1">
        <v>15071.0</v>
      </c>
    </row>
    <row r="683">
      <c r="A683" s="1" t="s">
        <v>11</v>
      </c>
      <c r="B683" s="1" t="s">
        <v>693</v>
      </c>
      <c r="C683" s="1" t="s">
        <v>13</v>
      </c>
      <c r="D683" s="2">
        <v>46019.47350694444</v>
      </c>
      <c r="E683" s="3">
        <v>46019.0</v>
      </c>
      <c r="F683" s="3" t="str">
        <f t="shared" si="1"/>
        <v>December-2025</v>
      </c>
      <c r="G683" s="1">
        <v>11.0</v>
      </c>
      <c r="H683" s="1">
        <v>55000.0</v>
      </c>
      <c r="I683" s="1">
        <v>10911.0</v>
      </c>
      <c r="J683" s="1">
        <v>15358.0</v>
      </c>
      <c r="K683" s="1">
        <v>28731.0</v>
      </c>
    </row>
    <row r="684">
      <c r="A684" s="1" t="s">
        <v>11</v>
      </c>
      <c r="B684" s="1" t="s">
        <v>694</v>
      </c>
      <c r="C684" s="1" t="s">
        <v>13</v>
      </c>
      <c r="D684" s="2">
        <v>46019.501759259256</v>
      </c>
      <c r="E684" s="3">
        <v>46019.0</v>
      </c>
      <c r="F684" s="3" t="str">
        <f t="shared" si="1"/>
        <v>December-2025</v>
      </c>
      <c r="G684" s="1">
        <v>12.0</v>
      </c>
      <c r="H684" s="1">
        <v>61100.0</v>
      </c>
      <c r="I684" s="1">
        <v>12121.0</v>
      </c>
      <c r="J684" s="1">
        <v>16618.0</v>
      </c>
      <c r="K684" s="1">
        <v>32361.0</v>
      </c>
    </row>
    <row r="685">
      <c r="A685" s="1" t="s">
        <v>11</v>
      </c>
      <c r="B685" s="1" t="s">
        <v>695</v>
      </c>
      <c r="C685" s="1" t="s">
        <v>13</v>
      </c>
      <c r="D685" s="2">
        <v>46019.50908564815</v>
      </c>
      <c r="E685" s="3">
        <v>46019.0</v>
      </c>
      <c r="F685" s="3" t="str">
        <f t="shared" si="1"/>
        <v>December-2025</v>
      </c>
      <c r="G685" s="1">
        <v>12.0</v>
      </c>
      <c r="H685" s="1">
        <v>49200.0</v>
      </c>
      <c r="I685" s="1">
        <v>10463.0</v>
      </c>
      <c r="J685" s="1">
        <v>10350.0</v>
      </c>
      <c r="K685" s="1">
        <v>28387.0</v>
      </c>
    </row>
    <row r="686">
      <c r="A686" s="1" t="s">
        <v>11</v>
      </c>
      <c r="B686" s="1" t="s">
        <v>696</v>
      </c>
      <c r="C686" s="1" t="s">
        <v>13</v>
      </c>
      <c r="D686" s="2">
        <v>46019.53791666667</v>
      </c>
      <c r="E686" s="3">
        <v>46019.0</v>
      </c>
      <c r="F686" s="3" t="str">
        <f t="shared" si="1"/>
        <v>December-2025</v>
      </c>
      <c r="G686" s="1">
        <v>12.0</v>
      </c>
      <c r="H686" s="1">
        <v>22900.0</v>
      </c>
      <c r="I686" s="1">
        <v>4603.0</v>
      </c>
      <c r="J686" s="1">
        <v>4489.0</v>
      </c>
      <c r="K686" s="1">
        <v>13808.0</v>
      </c>
    </row>
    <row r="687">
      <c r="A687" s="1" t="s">
        <v>11</v>
      </c>
      <c r="B687" s="1" t="s">
        <v>697</v>
      </c>
      <c r="C687" s="1" t="s">
        <v>13</v>
      </c>
      <c r="D687" s="2">
        <v>46019.56017361111</v>
      </c>
      <c r="E687" s="3">
        <v>46019.0</v>
      </c>
      <c r="F687" s="3" t="str">
        <f t="shared" si="1"/>
        <v>December-2025</v>
      </c>
      <c r="G687" s="1">
        <v>13.0</v>
      </c>
      <c r="H687" s="1">
        <v>74400.0</v>
      </c>
      <c r="I687" s="1">
        <v>18600.0</v>
      </c>
      <c r="J687" s="1">
        <v>4000.0</v>
      </c>
      <c r="K687" s="1">
        <v>51800.0</v>
      </c>
    </row>
    <row r="688">
      <c r="A688" s="1" t="s">
        <v>11</v>
      </c>
      <c r="B688" s="1" t="s">
        <v>698</v>
      </c>
      <c r="C688" s="1" t="s">
        <v>13</v>
      </c>
      <c r="D688" s="2">
        <v>46019.662569444445</v>
      </c>
      <c r="E688" s="3">
        <v>46019.0</v>
      </c>
      <c r="F688" s="3" t="str">
        <f t="shared" si="1"/>
        <v>December-2025</v>
      </c>
      <c r="G688" s="1">
        <v>15.0</v>
      </c>
      <c r="H688" s="1">
        <v>45800.0</v>
      </c>
      <c r="I688" s="1">
        <v>11450.0</v>
      </c>
      <c r="J688" s="1">
        <v>3000.0</v>
      </c>
      <c r="K688" s="1">
        <v>31350.0</v>
      </c>
    </row>
    <row r="689">
      <c r="A689" s="1" t="s">
        <v>11</v>
      </c>
      <c r="B689" s="1" t="s">
        <v>699</v>
      </c>
      <c r="C689" s="1" t="s">
        <v>13</v>
      </c>
      <c r="D689" s="2">
        <v>46019.68798611111</v>
      </c>
      <c r="E689" s="3">
        <v>46019.0</v>
      </c>
      <c r="F689" s="3" t="str">
        <f t="shared" si="1"/>
        <v>December-2025</v>
      </c>
      <c r="G689" s="1">
        <v>16.0</v>
      </c>
      <c r="H689" s="1">
        <v>40400.0</v>
      </c>
      <c r="I689" s="1">
        <v>8263.0</v>
      </c>
      <c r="J689" s="1">
        <v>10350.0</v>
      </c>
      <c r="K689" s="1">
        <v>21787.0</v>
      </c>
    </row>
    <row r="690">
      <c r="A690" s="1" t="s">
        <v>11</v>
      </c>
      <c r="B690" s="1" t="s">
        <v>700</v>
      </c>
      <c r="C690" s="1" t="s">
        <v>13</v>
      </c>
      <c r="D690" s="2">
        <v>46019.83460648148</v>
      </c>
      <c r="E690" s="3">
        <v>46019.0</v>
      </c>
      <c r="F690" s="3" t="str">
        <f t="shared" si="1"/>
        <v>December-2025</v>
      </c>
      <c r="G690" s="1">
        <v>20.0</v>
      </c>
      <c r="H690" s="1">
        <v>21400.0</v>
      </c>
      <c r="I690" s="1">
        <v>4302.0</v>
      </c>
      <c r="J690" s="1">
        <v>4195.0</v>
      </c>
      <c r="K690" s="1">
        <v>12903.0</v>
      </c>
    </row>
    <row r="691">
      <c r="A691" s="1" t="s">
        <v>11</v>
      </c>
      <c r="B691" s="1" t="s">
        <v>701</v>
      </c>
      <c r="C691" s="1" t="s">
        <v>13</v>
      </c>
      <c r="D691" s="2">
        <v>46019.855208333334</v>
      </c>
      <c r="E691" s="3">
        <v>46019.0</v>
      </c>
      <c r="F691" s="3" t="str">
        <f t="shared" si="1"/>
        <v>December-2025</v>
      </c>
      <c r="G691" s="1">
        <v>20.0</v>
      </c>
      <c r="H691" s="1">
        <v>52300.0</v>
      </c>
      <c r="I691" s="1">
        <v>9604.0</v>
      </c>
      <c r="J691" s="1">
        <v>17886.0</v>
      </c>
      <c r="K691" s="1">
        <v>24810.0</v>
      </c>
    </row>
    <row r="692">
      <c r="A692" s="1" t="s">
        <v>11</v>
      </c>
      <c r="B692" s="1" t="s">
        <v>702</v>
      </c>
      <c r="C692" s="1" t="s">
        <v>13</v>
      </c>
      <c r="D692" s="2">
        <v>46019.89145833333</v>
      </c>
      <c r="E692" s="3">
        <v>46019.0</v>
      </c>
      <c r="F692" s="3" t="str">
        <f t="shared" si="1"/>
        <v>December-2025</v>
      </c>
      <c r="G692" s="1">
        <v>21.0</v>
      </c>
      <c r="H692" s="1">
        <v>39200.0</v>
      </c>
      <c r="I692" s="1">
        <v>7963.0</v>
      </c>
      <c r="J692" s="1">
        <v>9350.0</v>
      </c>
      <c r="K692" s="1">
        <v>21887.0</v>
      </c>
    </row>
    <row r="693">
      <c r="A693" s="1" t="s">
        <v>11</v>
      </c>
      <c r="B693" s="1" t="s">
        <v>703</v>
      </c>
      <c r="C693" s="1" t="s">
        <v>13</v>
      </c>
      <c r="D693" s="2">
        <v>46019.89486111111</v>
      </c>
      <c r="E693" s="3">
        <v>46019.0</v>
      </c>
      <c r="F693" s="3" t="str">
        <f t="shared" si="1"/>
        <v>December-2025</v>
      </c>
      <c r="G693" s="1">
        <v>21.0</v>
      </c>
      <c r="H693" s="1">
        <v>45800.0</v>
      </c>
      <c r="I693" s="1">
        <v>9613.0</v>
      </c>
      <c r="J693" s="1">
        <v>10350.0</v>
      </c>
      <c r="K693" s="1">
        <v>25837.0</v>
      </c>
    </row>
    <row r="694">
      <c r="A694" s="1" t="s">
        <v>11</v>
      </c>
      <c r="B694" s="1" t="s">
        <v>704</v>
      </c>
      <c r="C694" s="1" t="s">
        <v>13</v>
      </c>
      <c r="D694" s="2">
        <v>46019.91259259259</v>
      </c>
      <c r="E694" s="3">
        <v>46019.0</v>
      </c>
      <c r="F694" s="3" t="str">
        <f t="shared" si="1"/>
        <v>December-2025</v>
      </c>
      <c r="G694" s="1">
        <v>21.0</v>
      </c>
      <c r="H694" s="1">
        <v>22900.0</v>
      </c>
      <c r="I694" s="1">
        <v>4603.0</v>
      </c>
      <c r="J694" s="1">
        <v>4489.0</v>
      </c>
      <c r="K694" s="1">
        <v>13808.0</v>
      </c>
    </row>
    <row r="695">
      <c r="A695" s="1" t="s">
        <v>11</v>
      </c>
      <c r="B695" s="1" t="s">
        <v>705</v>
      </c>
      <c r="C695" s="1" t="s">
        <v>13</v>
      </c>
      <c r="D695" s="2">
        <v>46019.94449074074</v>
      </c>
      <c r="E695" s="3">
        <v>46019.0</v>
      </c>
      <c r="F695" s="3" t="str">
        <f t="shared" si="1"/>
        <v>December-2025</v>
      </c>
      <c r="G695" s="1">
        <v>22.0</v>
      </c>
      <c r="H695" s="1">
        <v>56700.0</v>
      </c>
      <c r="I695" s="1">
        <v>11248.0</v>
      </c>
      <c r="J695" s="1">
        <v>15709.0</v>
      </c>
      <c r="K695" s="1">
        <v>29743.0</v>
      </c>
    </row>
    <row r="696">
      <c r="A696" s="1" t="s">
        <v>11</v>
      </c>
      <c r="B696" s="1" t="s">
        <v>706</v>
      </c>
      <c r="C696" s="1" t="s">
        <v>13</v>
      </c>
      <c r="D696" s="2">
        <v>46020.70711805556</v>
      </c>
      <c r="E696" s="3">
        <v>46020.0</v>
      </c>
      <c r="F696" s="3" t="str">
        <f t="shared" si="1"/>
        <v>December-2025</v>
      </c>
      <c r="G696" s="1">
        <v>16.0</v>
      </c>
      <c r="H696" s="1">
        <v>50400.0</v>
      </c>
      <c r="I696" s="1">
        <v>9998.0</v>
      </c>
      <c r="J696" s="1">
        <v>14408.0</v>
      </c>
      <c r="K696" s="1">
        <v>25994.0</v>
      </c>
    </row>
    <row r="697">
      <c r="A697" s="1" t="s">
        <v>11</v>
      </c>
      <c r="B697" s="1" t="s">
        <v>707</v>
      </c>
      <c r="C697" s="1" t="s">
        <v>13</v>
      </c>
      <c r="D697" s="2">
        <v>46020.744050925925</v>
      </c>
      <c r="E697" s="3">
        <v>46020.0</v>
      </c>
      <c r="F697" s="3" t="str">
        <f t="shared" si="1"/>
        <v>December-2025</v>
      </c>
      <c r="G697" s="1">
        <v>17.0</v>
      </c>
      <c r="H697" s="1">
        <v>22500.0</v>
      </c>
      <c r="I697" s="1">
        <v>4247.0</v>
      </c>
      <c r="J697" s="1">
        <v>5513.0</v>
      </c>
      <c r="K697" s="1">
        <v>12740.0</v>
      </c>
    </row>
    <row r="698">
      <c r="A698" s="1" t="s">
        <v>11</v>
      </c>
      <c r="B698" s="1" t="s">
        <v>708</v>
      </c>
      <c r="C698" s="1" t="s">
        <v>13</v>
      </c>
      <c r="D698" s="2">
        <v>46020.8028125</v>
      </c>
      <c r="E698" s="3">
        <v>46020.0</v>
      </c>
      <c r="F698" s="3" t="str">
        <f t="shared" si="1"/>
        <v>December-2025</v>
      </c>
      <c r="G698" s="1">
        <v>19.0</v>
      </c>
      <c r="H698" s="1">
        <v>36400.0</v>
      </c>
      <c r="I698" s="1">
        <v>6895.0</v>
      </c>
      <c r="J698" s="1">
        <v>10820.0</v>
      </c>
      <c r="K698" s="1">
        <v>18685.0</v>
      </c>
    </row>
    <row r="699">
      <c r="A699" s="1" t="s">
        <v>11</v>
      </c>
      <c r="B699" s="1" t="s">
        <v>709</v>
      </c>
      <c r="C699" s="1" t="s">
        <v>13</v>
      </c>
      <c r="D699" s="2">
        <v>46020.87099537037</v>
      </c>
      <c r="E699" s="3">
        <v>46020.0</v>
      </c>
      <c r="F699" s="3" t="str">
        <f t="shared" si="1"/>
        <v>December-2025</v>
      </c>
      <c r="G699" s="1">
        <v>20.0</v>
      </c>
      <c r="H699" s="1">
        <v>22900.0</v>
      </c>
      <c r="I699" s="1">
        <v>4603.0</v>
      </c>
      <c r="J699" s="1">
        <v>4489.0</v>
      </c>
      <c r="K699" s="1">
        <v>13808.0</v>
      </c>
    </row>
    <row r="700">
      <c r="A700" s="1" t="s">
        <v>11</v>
      </c>
      <c r="B700" s="1" t="s">
        <v>710</v>
      </c>
      <c r="C700" s="1" t="s">
        <v>13</v>
      </c>
      <c r="D700" s="2">
        <v>46020.891284722224</v>
      </c>
      <c r="E700" s="3">
        <v>46020.0</v>
      </c>
      <c r="F700" s="3" t="str">
        <f t="shared" si="1"/>
        <v>December-2025</v>
      </c>
      <c r="G700" s="1">
        <v>21.0</v>
      </c>
      <c r="H700" s="1">
        <v>73700.0</v>
      </c>
      <c r="I700" s="1">
        <v>14620.0</v>
      </c>
      <c r="J700" s="1">
        <v>19220.0</v>
      </c>
      <c r="K700" s="1">
        <v>39860.0</v>
      </c>
    </row>
    <row r="701">
      <c r="A701" s="1" t="s">
        <v>11</v>
      </c>
      <c r="B701" s="1" t="s">
        <v>711</v>
      </c>
      <c r="C701" s="1" t="s">
        <v>13</v>
      </c>
      <c r="D701" s="2">
        <v>46020.924988425926</v>
      </c>
      <c r="E701" s="3">
        <v>46020.0</v>
      </c>
      <c r="F701" s="3" t="str">
        <f t="shared" si="1"/>
        <v>December-2025</v>
      </c>
      <c r="G701" s="1">
        <v>22.0</v>
      </c>
      <c r="H701" s="1">
        <v>34300.0</v>
      </c>
      <c r="I701" s="1">
        <v>6738.0</v>
      </c>
      <c r="J701" s="1">
        <v>9350.0</v>
      </c>
      <c r="K701" s="1">
        <v>18212.0</v>
      </c>
    </row>
    <row r="702">
      <c r="A702" s="1" t="s">
        <v>11</v>
      </c>
      <c r="B702" s="1" t="s">
        <v>712</v>
      </c>
      <c r="C702" s="1" t="s">
        <v>13</v>
      </c>
      <c r="D702" s="2">
        <v>46020.94395833334</v>
      </c>
      <c r="E702" s="3">
        <v>46020.0</v>
      </c>
      <c r="F702" s="3" t="str">
        <f t="shared" si="1"/>
        <v>December-2025</v>
      </c>
      <c r="G702" s="1">
        <v>22.0</v>
      </c>
      <c r="H702" s="1">
        <v>26500.0</v>
      </c>
      <c r="I702" s="1">
        <v>5400.0</v>
      </c>
      <c r="J702" s="1">
        <v>4900.0</v>
      </c>
      <c r="K702" s="1">
        <v>16200.0</v>
      </c>
    </row>
    <row r="703">
      <c r="A703" s="1" t="s">
        <v>11</v>
      </c>
      <c r="B703" s="1" t="s">
        <v>713</v>
      </c>
      <c r="C703" s="1" t="s">
        <v>13</v>
      </c>
      <c r="D703" s="2">
        <v>46021.51453703704</v>
      </c>
      <c r="E703" s="3">
        <v>46021.0</v>
      </c>
      <c r="F703" s="3" t="str">
        <f t="shared" si="1"/>
        <v>December-2025</v>
      </c>
      <c r="G703" s="1">
        <v>12.0</v>
      </c>
      <c r="H703" s="1">
        <v>45800.0</v>
      </c>
      <c r="I703" s="1">
        <v>9245.0</v>
      </c>
      <c r="J703" s="1">
        <v>11820.0</v>
      </c>
      <c r="K703" s="1">
        <v>24735.0</v>
      </c>
    </row>
    <row r="704">
      <c r="A704" s="1" t="s">
        <v>11</v>
      </c>
      <c r="B704" s="1" t="s">
        <v>714</v>
      </c>
      <c r="C704" s="1" t="s">
        <v>13</v>
      </c>
      <c r="D704" s="2">
        <v>46021.68451388889</v>
      </c>
      <c r="E704" s="3">
        <v>46021.0</v>
      </c>
      <c r="F704" s="3" t="str">
        <f t="shared" si="1"/>
        <v>December-2025</v>
      </c>
      <c r="G704" s="1">
        <v>16.0</v>
      </c>
      <c r="H704" s="1">
        <v>38700.0</v>
      </c>
      <c r="I704" s="1">
        <v>7470.0</v>
      </c>
      <c r="J704" s="1">
        <v>10820.0</v>
      </c>
      <c r="K704" s="1">
        <v>20410.0</v>
      </c>
    </row>
    <row r="705">
      <c r="A705" s="1" t="s">
        <v>11</v>
      </c>
      <c r="B705" s="1" t="s">
        <v>715</v>
      </c>
      <c r="C705" s="1" t="s">
        <v>13</v>
      </c>
      <c r="D705" s="2">
        <v>46021.71233796296</v>
      </c>
      <c r="E705" s="3">
        <v>46021.0</v>
      </c>
      <c r="F705" s="3" t="str">
        <f t="shared" si="1"/>
        <v>December-2025</v>
      </c>
      <c r="G705" s="1">
        <v>17.0</v>
      </c>
      <c r="H705" s="1">
        <v>22900.0</v>
      </c>
      <c r="I705" s="1">
        <v>4500.0</v>
      </c>
      <c r="J705" s="1">
        <v>4900.0</v>
      </c>
      <c r="K705" s="1">
        <v>13500.0</v>
      </c>
    </row>
    <row r="706">
      <c r="A706" s="1" t="s">
        <v>11</v>
      </c>
      <c r="B706" s="1" t="s">
        <v>716</v>
      </c>
      <c r="C706" s="1" t="s">
        <v>13</v>
      </c>
      <c r="D706" s="2">
        <v>46021.72412037037</v>
      </c>
      <c r="E706" s="3">
        <v>46021.0</v>
      </c>
      <c r="F706" s="3" t="str">
        <f t="shared" si="1"/>
        <v>December-2025</v>
      </c>
      <c r="G706" s="1">
        <v>17.0</v>
      </c>
      <c r="H706" s="1">
        <v>18500.0</v>
      </c>
      <c r="I706" s="1">
        <v>3719.0</v>
      </c>
      <c r="J706" s="1">
        <v>3626.0</v>
      </c>
      <c r="K706" s="1">
        <v>11155.0</v>
      </c>
    </row>
    <row r="707">
      <c r="A707" s="1" t="s">
        <v>11</v>
      </c>
      <c r="B707" s="1" t="s">
        <v>717</v>
      </c>
      <c r="C707" s="1" t="s">
        <v>13</v>
      </c>
      <c r="D707" s="2">
        <v>46021.76918981481</v>
      </c>
      <c r="E707" s="3">
        <v>46021.0</v>
      </c>
      <c r="F707" s="3" t="str">
        <f t="shared" si="1"/>
        <v>December-2025</v>
      </c>
      <c r="G707" s="1">
        <v>18.0</v>
      </c>
      <c r="H707" s="1">
        <v>22900.0</v>
      </c>
      <c r="I707" s="1">
        <v>4500.0</v>
      </c>
      <c r="J707" s="1">
        <v>4900.0</v>
      </c>
      <c r="K707" s="1">
        <v>13500.0</v>
      </c>
    </row>
    <row r="708">
      <c r="A708" s="1" t="s">
        <v>11</v>
      </c>
      <c r="B708" s="1" t="s">
        <v>718</v>
      </c>
      <c r="C708" s="1" t="s">
        <v>13</v>
      </c>
      <c r="D708" s="2">
        <v>46021.795960648145</v>
      </c>
      <c r="E708" s="3">
        <v>46021.0</v>
      </c>
      <c r="F708" s="3" t="str">
        <f t="shared" si="1"/>
        <v>December-2025</v>
      </c>
      <c r="G708" s="1">
        <v>19.0</v>
      </c>
      <c r="H708" s="1">
        <v>45800.0</v>
      </c>
      <c r="I708" s="1">
        <v>9245.0</v>
      </c>
      <c r="J708" s="1">
        <v>11820.0</v>
      </c>
      <c r="K708" s="1">
        <v>24735.0</v>
      </c>
    </row>
    <row r="709">
      <c r="A709" s="1" t="s">
        <v>11</v>
      </c>
      <c r="B709" s="1" t="s">
        <v>719</v>
      </c>
      <c r="C709" s="1" t="s">
        <v>13</v>
      </c>
      <c r="D709" s="2">
        <v>46021.824421296296</v>
      </c>
      <c r="E709" s="3">
        <v>46021.0</v>
      </c>
      <c r="F709" s="3" t="str">
        <f t="shared" si="1"/>
        <v>December-2025</v>
      </c>
      <c r="G709" s="1">
        <v>19.0</v>
      </c>
      <c r="H709" s="1">
        <v>26800.0</v>
      </c>
      <c r="I709" s="1">
        <v>5059.0</v>
      </c>
      <c r="J709" s="1">
        <v>6566.0</v>
      </c>
      <c r="K709" s="1">
        <v>15175.0</v>
      </c>
    </row>
    <row r="710">
      <c r="A710" s="1" t="s">
        <v>11</v>
      </c>
      <c r="B710" s="1" t="s">
        <v>720</v>
      </c>
      <c r="C710" s="1" t="s">
        <v>13</v>
      </c>
      <c r="D710" s="2">
        <v>46021.82822916667</v>
      </c>
      <c r="E710" s="3">
        <v>46021.0</v>
      </c>
      <c r="F710" s="3" t="str">
        <f t="shared" si="1"/>
        <v>December-2025</v>
      </c>
      <c r="G710" s="1">
        <v>19.0</v>
      </c>
      <c r="H710" s="1">
        <v>41400.0</v>
      </c>
      <c r="I710" s="1">
        <v>8145.0</v>
      </c>
      <c r="J710" s="1">
        <v>11820.0</v>
      </c>
      <c r="K710" s="1">
        <v>21435.0</v>
      </c>
    </row>
    <row r="711">
      <c r="A711" s="1" t="s">
        <v>11</v>
      </c>
      <c r="B711" s="1" t="s">
        <v>721</v>
      </c>
      <c r="C711" s="1" t="s">
        <v>13</v>
      </c>
      <c r="D711" s="2">
        <v>46021.85293981482</v>
      </c>
      <c r="E711" s="3">
        <v>46021.0</v>
      </c>
      <c r="F711" s="3" t="str">
        <f t="shared" si="1"/>
        <v>December-2025</v>
      </c>
      <c r="G711" s="1">
        <v>20.0</v>
      </c>
      <c r="H711" s="1">
        <v>30700.0</v>
      </c>
      <c r="I711" s="1">
        <v>5470.0</v>
      </c>
      <c r="J711" s="1">
        <v>10820.0</v>
      </c>
      <c r="K711" s="1">
        <v>14410.0</v>
      </c>
    </row>
    <row r="712">
      <c r="A712" s="1" t="s">
        <v>11</v>
      </c>
      <c r="B712" s="1" t="s">
        <v>722</v>
      </c>
      <c r="C712" s="1" t="s">
        <v>13</v>
      </c>
      <c r="D712" s="2">
        <v>46021.91284722222</v>
      </c>
      <c r="E712" s="3">
        <v>46021.0</v>
      </c>
      <c r="F712" s="3" t="str">
        <f t="shared" si="1"/>
        <v>December-2025</v>
      </c>
      <c r="G712" s="1">
        <v>21.0</v>
      </c>
      <c r="H712" s="1">
        <v>62600.0</v>
      </c>
      <c r="I712" s="1">
        <v>12419.0</v>
      </c>
      <c r="J712" s="1">
        <v>16927.0</v>
      </c>
      <c r="K712" s="1">
        <v>33254.0</v>
      </c>
    </row>
    <row r="713">
      <c r="A713" s="1" t="s">
        <v>11</v>
      </c>
      <c r="B713" s="1" t="s">
        <v>723</v>
      </c>
      <c r="C713" s="1" t="s">
        <v>13</v>
      </c>
      <c r="D713" s="2">
        <v>46021.92207175926</v>
      </c>
      <c r="E713" s="3">
        <v>46021.0</v>
      </c>
      <c r="F713" s="3" t="str">
        <f t="shared" si="1"/>
        <v>December-2025</v>
      </c>
      <c r="G713" s="1">
        <v>22.0</v>
      </c>
      <c r="H713" s="1">
        <v>57500.0</v>
      </c>
      <c r="I713" s="1">
        <v>11407.0</v>
      </c>
      <c r="J713" s="1">
        <v>15874.0</v>
      </c>
      <c r="K713" s="1">
        <v>30219.0</v>
      </c>
    </row>
    <row r="714">
      <c r="A714" s="1" t="s">
        <v>11</v>
      </c>
      <c r="B714" s="1" t="s">
        <v>724</v>
      </c>
      <c r="C714" s="1" t="s">
        <v>13</v>
      </c>
      <c r="D714" s="2">
        <v>46021.927708333336</v>
      </c>
      <c r="E714" s="3">
        <v>46021.0</v>
      </c>
      <c r="F714" s="3" t="str">
        <f t="shared" si="1"/>
        <v>December-2025</v>
      </c>
      <c r="G714" s="1">
        <v>22.0</v>
      </c>
      <c r="H714" s="1">
        <v>32700.0</v>
      </c>
      <c r="I714" s="1">
        <v>5970.0</v>
      </c>
      <c r="J714" s="1">
        <v>8820.0</v>
      </c>
      <c r="K714" s="1">
        <v>17910.0</v>
      </c>
    </row>
    <row r="715">
      <c r="A715" s="1" t="s">
        <v>11</v>
      </c>
      <c r="B715" s="1" t="s">
        <v>725</v>
      </c>
      <c r="C715" s="1" t="s">
        <v>13</v>
      </c>
      <c r="D715" s="2">
        <v>46022.471400462964</v>
      </c>
      <c r="E715" s="3">
        <v>46022.0</v>
      </c>
      <c r="F715" s="3" t="str">
        <f t="shared" si="1"/>
        <v>December-2025</v>
      </c>
      <c r="G715" s="1">
        <v>11.0</v>
      </c>
      <c r="H715" s="1">
        <v>33800.0</v>
      </c>
      <c r="I715" s="1">
        <v>6794.0</v>
      </c>
      <c r="J715" s="1">
        <v>6625.0</v>
      </c>
      <c r="K715" s="1">
        <v>20381.0</v>
      </c>
    </row>
    <row r="716">
      <c r="A716" s="1" t="s">
        <v>11</v>
      </c>
      <c r="B716" s="1" t="s">
        <v>726</v>
      </c>
      <c r="C716" s="1" t="s">
        <v>13</v>
      </c>
      <c r="D716" s="2">
        <v>46022.479467592595</v>
      </c>
      <c r="E716" s="3">
        <v>46022.0</v>
      </c>
      <c r="F716" s="3" t="str">
        <f t="shared" si="1"/>
        <v>December-2025</v>
      </c>
      <c r="G716" s="1">
        <v>11.0</v>
      </c>
      <c r="H716" s="1">
        <v>23400.0</v>
      </c>
      <c r="I716" s="1">
        <v>4625.0</v>
      </c>
      <c r="J716" s="1">
        <v>4900.0</v>
      </c>
      <c r="K716" s="1">
        <v>13875.0</v>
      </c>
    </row>
    <row r="717">
      <c r="A717" s="1" t="s">
        <v>11</v>
      </c>
      <c r="B717" s="1" t="s">
        <v>727</v>
      </c>
      <c r="C717" s="1" t="s">
        <v>13</v>
      </c>
      <c r="D717" s="2">
        <v>46022.52621527778</v>
      </c>
      <c r="E717" s="3">
        <v>46022.0</v>
      </c>
      <c r="F717" s="3" t="str">
        <f t="shared" si="1"/>
        <v>December-2025</v>
      </c>
      <c r="G717" s="1">
        <v>12.0</v>
      </c>
      <c r="H717" s="1">
        <v>32700.0</v>
      </c>
      <c r="I717" s="1">
        <v>6573.0</v>
      </c>
      <c r="J717" s="1">
        <v>8410.0</v>
      </c>
      <c r="K717" s="1">
        <v>17717.0</v>
      </c>
    </row>
    <row r="718">
      <c r="A718" s="1" t="s">
        <v>11</v>
      </c>
      <c r="B718" s="1" t="s">
        <v>728</v>
      </c>
      <c r="C718" s="1" t="s">
        <v>13</v>
      </c>
      <c r="D718" s="2">
        <v>46022.6156712963</v>
      </c>
      <c r="E718" s="3">
        <v>46022.0</v>
      </c>
      <c r="F718" s="3" t="str">
        <f t="shared" si="1"/>
        <v>December-2025</v>
      </c>
      <c r="G718" s="1">
        <v>14.0</v>
      </c>
      <c r="H718" s="1">
        <v>63200.0</v>
      </c>
      <c r="I718" s="1">
        <v>12538.0</v>
      </c>
      <c r="J718" s="1">
        <v>17051.0</v>
      </c>
      <c r="K718" s="1">
        <v>33611.0</v>
      </c>
    </row>
    <row r="719">
      <c r="A719" s="1" t="s">
        <v>11</v>
      </c>
      <c r="B719" s="1" t="s">
        <v>729</v>
      </c>
      <c r="C719" s="1" t="s">
        <v>13</v>
      </c>
      <c r="D719" s="2">
        <v>46022.62275462963</v>
      </c>
      <c r="E719" s="3">
        <v>46022.0</v>
      </c>
      <c r="F719" s="3" t="str">
        <f t="shared" si="1"/>
        <v>December-2025</v>
      </c>
      <c r="G719" s="1">
        <v>14.0</v>
      </c>
      <c r="H719" s="1">
        <v>23400.0</v>
      </c>
      <c r="I719" s="1">
        <v>4417.0</v>
      </c>
      <c r="J719" s="1">
        <v>5733.0</v>
      </c>
      <c r="K719" s="1">
        <v>13250.0</v>
      </c>
    </row>
    <row r="720">
      <c r="A720" s="1" t="s">
        <v>11</v>
      </c>
      <c r="B720" s="1" t="s">
        <v>730</v>
      </c>
      <c r="C720" s="1" t="s">
        <v>13</v>
      </c>
      <c r="D720" s="2">
        <v>46022.63303240741</v>
      </c>
      <c r="E720" s="3">
        <v>46022.0</v>
      </c>
      <c r="F720" s="3" t="str">
        <f t="shared" si="1"/>
        <v>December-2025</v>
      </c>
      <c r="G720" s="1">
        <v>15.0</v>
      </c>
      <c r="H720" s="1">
        <v>41900.0</v>
      </c>
      <c r="I720" s="1">
        <v>8638.0</v>
      </c>
      <c r="J720" s="1">
        <v>10350.0</v>
      </c>
      <c r="K720" s="1">
        <v>22912.0</v>
      </c>
    </row>
    <row r="721">
      <c r="A721" s="1" t="s">
        <v>11</v>
      </c>
      <c r="B721" s="1" t="s">
        <v>731</v>
      </c>
      <c r="C721" s="1" t="s">
        <v>13</v>
      </c>
      <c r="D721" s="2">
        <v>46022.765381944446</v>
      </c>
      <c r="E721" s="3">
        <v>46022.0</v>
      </c>
      <c r="F721" s="3" t="str">
        <f t="shared" si="1"/>
        <v>December-2025</v>
      </c>
      <c r="G721" s="1">
        <v>18.0</v>
      </c>
      <c r="H721" s="1">
        <v>46300.0</v>
      </c>
      <c r="I721" s="1">
        <v>9738.0</v>
      </c>
      <c r="J721" s="1">
        <v>10350.0</v>
      </c>
      <c r="K721" s="1">
        <v>26212.0</v>
      </c>
    </row>
    <row r="722">
      <c r="A722" s="1" t="s">
        <v>11</v>
      </c>
      <c r="B722" s="1" t="s">
        <v>732</v>
      </c>
      <c r="C722" s="1" t="s">
        <v>13</v>
      </c>
      <c r="D722" s="2">
        <v>46022.803449074076</v>
      </c>
      <c r="E722" s="3">
        <v>46022.0</v>
      </c>
      <c r="F722" s="3" t="str">
        <f t="shared" si="1"/>
        <v>December-2025</v>
      </c>
      <c r="G722" s="1">
        <v>19.0</v>
      </c>
      <c r="H722" s="1">
        <v>39200.0</v>
      </c>
      <c r="I722" s="1">
        <v>7963.0</v>
      </c>
      <c r="J722" s="1">
        <v>9350.0</v>
      </c>
      <c r="K722" s="1">
        <v>21887.0</v>
      </c>
    </row>
    <row r="723">
      <c r="A723" s="1" t="s">
        <v>11</v>
      </c>
      <c r="B723" s="1" t="s">
        <v>733</v>
      </c>
      <c r="C723" s="1" t="s">
        <v>13</v>
      </c>
      <c r="D723" s="2">
        <v>46022.82776620371</v>
      </c>
      <c r="E723" s="3">
        <v>46022.0</v>
      </c>
      <c r="F723" s="3" t="str">
        <f t="shared" si="1"/>
        <v>December-2025</v>
      </c>
      <c r="G723" s="1">
        <v>19.0</v>
      </c>
      <c r="H723" s="1">
        <v>23400.0</v>
      </c>
      <c r="I723" s="1">
        <v>4625.0</v>
      </c>
      <c r="J723" s="1">
        <v>4900.0</v>
      </c>
      <c r="K723" s="1">
        <v>13875.0</v>
      </c>
    </row>
    <row r="724">
      <c r="A724" s="1" t="s">
        <v>11</v>
      </c>
      <c r="B724" s="1" t="s">
        <v>734</v>
      </c>
      <c r="C724" s="1" t="s">
        <v>13</v>
      </c>
      <c r="D724" s="2">
        <v>46022.86400462963</v>
      </c>
      <c r="E724" s="3">
        <v>46022.0</v>
      </c>
      <c r="F724" s="3" t="str">
        <f t="shared" si="1"/>
        <v>December-2025</v>
      </c>
      <c r="G724" s="1">
        <v>20.0</v>
      </c>
      <c r="H724" s="1">
        <v>22900.0</v>
      </c>
      <c r="I724" s="1">
        <v>4500.0</v>
      </c>
      <c r="J724" s="1">
        <v>4900.0</v>
      </c>
      <c r="K724" s="1">
        <v>13500.0</v>
      </c>
    </row>
    <row r="725">
      <c r="A725" s="1" t="s">
        <v>11</v>
      </c>
      <c r="B725" s="1" t="s">
        <v>735</v>
      </c>
      <c r="C725" s="1" t="s">
        <v>13</v>
      </c>
      <c r="D725" s="2">
        <v>46022.88024305556</v>
      </c>
      <c r="E725" s="3">
        <v>46022.0</v>
      </c>
      <c r="F725" s="3" t="str">
        <f t="shared" si="1"/>
        <v>December-2025</v>
      </c>
      <c r="G725" s="1">
        <v>21.0</v>
      </c>
      <c r="H725" s="1">
        <v>34300.0</v>
      </c>
      <c r="I725" s="1">
        <v>6895.0</v>
      </c>
      <c r="J725" s="1">
        <v>8723.0</v>
      </c>
      <c r="K725" s="1">
        <v>18682.0</v>
      </c>
    </row>
    <row r="726">
      <c r="A726" s="1" t="s">
        <v>11</v>
      </c>
      <c r="B726" s="1" t="s">
        <v>736</v>
      </c>
      <c r="C726" s="1" t="s">
        <v>13</v>
      </c>
      <c r="D726" s="2">
        <v>46022.8933912037</v>
      </c>
      <c r="E726" s="3">
        <v>46022.0</v>
      </c>
      <c r="F726" s="3" t="str">
        <f t="shared" si="1"/>
        <v>December-2025</v>
      </c>
      <c r="G726" s="1">
        <v>21.0</v>
      </c>
      <c r="H726" s="1">
        <v>22900.0</v>
      </c>
      <c r="I726" s="1">
        <v>4500.0</v>
      </c>
      <c r="J726" s="1">
        <v>4900.0</v>
      </c>
      <c r="K726" s="1">
        <v>13500.0</v>
      </c>
    </row>
    <row r="727">
      <c r="A727" s="1" t="s">
        <v>11</v>
      </c>
      <c r="B727" s="1" t="s">
        <v>737</v>
      </c>
      <c r="C727" s="1" t="s">
        <v>13</v>
      </c>
      <c r="D727" s="2">
        <v>46022.924259259256</v>
      </c>
      <c r="E727" s="3">
        <v>46022.0</v>
      </c>
      <c r="F727" s="3" t="str">
        <f t="shared" si="1"/>
        <v>December-2025</v>
      </c>
      <c r="G727" s="1">
        <v>22.0</v>
      </c>
      <c r="H727" s="1">
        <v>37000.0</v>
      </c>
      <c r="I727" s="1">
        <v>7437.0</v>
      </c>
      <c r="J727" s="1">
        <v>9252.0</v>
      </c>
      <c r="K727" s="1">
        <v>20311.0</v>
      </c>
    </row>
    <row r="728">
      <c r="A728" s="1" t="s">
        <v>11</v>
      </c>
      <c r="B728" s="1" t="s">
        <v>738</v>
      </c>
      <c r="C728" s="1" t="s">
        <v>13</v>
      </c>
      <c r="D728" s="2">
        <v>46022.93951388889</v>
      </c>
      <c r="E728" s="3">
        <v>46022.0</v>
      </c>
      <c r="F728" s="3" t="str">
        <f t="shared" si="1"/>
        <v>December-2025</v>
      </c>
      <c r="G728" s="1">
        <v>22.0</v>
      </c>
      <c r="H728" s="1">
        <v>22900.0</v>
      </c>
      <c r="I728" s="1">
        <v>4323.0</v>
      </c>
      <c r="J728" s="1">
        <v>5611.0</v>
      </c>
      <c r="K728" s="1">
        <v>12966.0</v>
      </c>
    </row>
    <row r="729">
      <c r="A729" s="1" t="s">
        <v>11</v>
      </c>
      <c r="B729" s="1" t="s">
        <v>739</v>
      </c>
      <c r="C729" s="1" t="s">
        <v>13</v>
      </c>
      <c r="D729" s="2">
        <v>46022.949537037035</v>
      </c>
      <c r="E729" s="3">
        <v>46022.0</v>
      </c>
      <c r="F729" s="3" t="str">
        <f t="shared" si="1"/>
        <v>December-2025</v>
      </c>
      <c r="G729" s="1">
        <v>22.0</v>
      </c>
      <c r="H729" s="1">
        <v>32700.0</v>
      </c>
      <c r="I729" s="1">
        <v>5970.0</v>
      </c>
      <c r="J729" s="1">
        <v>10820.0</v>
      </c>
      <c r="K729" s="1">
        <v>15910.0</v>
      </c>
    </row>
    <row r="730">
      <c r="A730" s="1" t="s">
        <v>11</v>
      </c>
      <c r="B730" s="1" t="s">
        <v>740</v>
      </c>
      <c r="C730" s="1" t="s">
        <v>13</v>
      </c>
      <c r="D730" s="2">
        <v>46023.48300925926</v>
      </c>
      <c r="E730" s="3">
        <v>46023.0</v>
      </c>
      <c r="F730" s="3" t="str">
        <f t="shared" si="1"/>
        <v>January-2026</v>
      </c>
      <c r="G730" s="1">
        <v>11.0</v>
      </c>
      <c r="H730" s="1">
        <v>45000.0</v>
      </c>
      <c r="I730" s="1">
        <v>9413.0</v>
      </c>
      <c r="J730" s="1">
        <v>10350.0</v>
      </c>
      <c r="K730" s="1">
        <v>25237.0</v>
      </c>
    </row>
    <row r="731">
      <c r="A731" s="1" t="s">
        <v>11</v>
      </c>
      <c r="B731" s="1" t="s">
        <v>741</v>
      </c>
      <c r="C731" s="1" t="s">
        <v>13</v>
      </c>
      <c r="D731" s="2">
        <v>46023.493368055555</v>
      </c>
      <c r="E731" s="3">
        <v>46023.0</v>
      </c>
      <c r="F731" s="3" t="str">
        <f t="shared" si="1"/>
        <v>January-2026</v>
      </c>
      <c r="G731" s="1">
        <v>11.0</v>
      </c>
      <c r="H731" s="1">
        <v>82000.0</v>
      </c>
      <c r="I731" s="1">
        <v>16267.0</v>
      </c>
      <c r="J731" s="1">
        <v>20933.0</v>
      </c>
      <c r="K731" s="1">
        <v>44800.0</v>
      </c>
    </row>
    <row r="732">
      <c r="A732" s="1" t="s">
        <v>11</v>
      </c>
      <c r="B732" s="1" t="s">
        <v>742</v>
      </c>
      <c r="C732" s="1" t="s">
        <v>13</v>
      </c>
      <c r="D732" s="2">
        <v>46023.54275462963</v>
      </c>
      <c r="E732" s="3">
        <v>46023.0</v>
      </c>
      <c r="F732" s="3" t="str">
        <f t="shared" si="1"/>
        <v>January-2026</v>
      </c>
      <c r="G732" s="1">
        <v>13.0</v>
      </c>
      <c r="H732" s="1">
        <v>34400.0</v>
      </c>
      <c r="I732" s="1">
        <v>6763.0</v>
      </c>
      <c r="J732" s="1">
        <v>7350.0</v>
      </c>
      <c r="K732" s="1">
        <v>20287.0</v>
      </c>
    </row>
    <row r="733">
      <c r="A733" s="1" t="s">
        <v>11</v>
      </c>
      <c r="B733" s="1" t="s">
        <v>743</v>
      </c>
      <c r="C733" s="1" t="s">
        <v>13</v>
      </c>
      <c r="D733" s="2">
        <v>46023.56061342593</v>
      </c>
      <c r="E733" s="3">
        <v>46023.0</v>
      </c>
      <c r="F733" s="3" t="str">
        <f t="shared" si="1"/>
        <v>January-2026</v>
      </c>
      <c r="G733" s="1">
        <v>13.0</v>
      </c>
      <c r="H733" s="1">
        <v>18500.0</v>
      </c>
      <c r="I733" s="1">
        <v>3492.0</v>
      </c>
      <c r="J733" s="1">
        <v>4533.0</v>
      </c>
      <c r="K733" s="1">
        <v>10475.0</v>
      </c>
    </row>
    <row r="734">
      <c r="A734" s="1" t="s">
        <v>11</v>
      </c>
      <c r="B734" s="1" t="s">
        <v>744</v>
      </c>
      <c r="C734" s="1" t="s">
        <v>13</v>
      </c>
      <c r="D734" s="2">
        <v>46023.60146990741</v>
      </c>
      <c r="E734" s="3">
        <v>46023.0</v>
      </c>
      <c r="F734" s="3" t="str">
        <f t="shared" si="1"/>
        <v>January-2026</v>
      </c>
      <c r="G734" s="1">
        <v>14.0</v>
      </c>
      <c r="H734" s="1">
        <v>18500.0</v>
      </c>
      <c r="I734" s="1">
        <v>3492.0</v>
      </c>
      <c r="J734" s="1">
        <v>4533.0</v>
      </c>
      <c r="K734" s="1">
        <v>10475.0</v>
      </c>
    </row>
    <row r="735">
      <c r="A735" s="1" t="s">
        <v>11</v>
      </c>
      <c r="B735" s="1" t="s">
        <v>745</v>
      </c>
      <c r="C735" s="1" t="s">
        <v>13</v>
      </c>
      <c r="D735" s="2">
        <v>46023.60842592592</v>
      </c>
      <c r="E735" s="3">
        <v>46023.0</v>
      </c>
      <c r="F735" s="3" t="str">
        <f t="shared" si="1"/>
        <v>January-2026</v>
      </c>
      <c r="G735" s="1">
        <v>14.0</v>
      </c>
      <c r="H735" s="1">
        <v>18500.0</v>
      </c>
      <c r="I735" s="1">
        <v>3492.0</v>
      </c>
      <c r="J735" s="1">
        <v>4533.0</v>
      </c>
      <c r="K735" s="1">
        <v>10475.0</v>
      </c>
    </row>
    <row r="736">
      <c r="A736" s="1" t="s">
        <v>11</v>
      </c>
      <c r="B736" s="1" t="s">
        <v>746</v>
      </c>
      <c r="C736" s="1" t="s">
        <v>13</v>
      </c>
      <c r="D736" s="2">
        <v>46023.63775462963</v>
      </c>
      <c r="E736" s="3">
        <v>46023.0</v>
      </c>
      <c r="F736" s="3" t="str">
        <f t="shared" si="1"/>
        <v>January-2026</v>
      </c>
      <c r="G736" s="1">
        <v>15.0</v>
      </c>
      <c r="H736" s="1">
        <v>106300.0</v>
      </c>
      <c r="I736" s="1">
        <v>20304.0</v>
      </c>
      <c r="J736" s="1">
        <v>34087.0</v>
      </c>
      <c r="K736" s="1">
        <v>51909.0</v>
      </c>
    </row>
    <row r="737">
      <c r="A737" s="1" t="s">
        <v>11</v>
      </c>
      <c r="B737" s="1" t="s">
        <v>747</v>
      </c>
      <c r="C737" s="1" t="s">
        <v>13</v>
      </c>
      <c r="D737" s="2">
        <v>46023.642233796294</v>
      </c>
      <c r="E737" s="3">
        <v>46023.0</v>
      </c>
      <c r="F737" s="3" t="str">
        <f t="shared" si="1"/>
        <v>January-2026</v>
      </c>
      <c r="G737" s="1">
        <v>15.0</v>
      </c>
      <c r="H737" s="1">
        <v>32400.0</v>
      </c>
      <c r="I737" s="1">
        <v>6513.0</v>
      </c>
      <c r="J737" s="1">
        <v>8351.0</v>
      </c>
      <c r="K737" s="1">
        <v>17536.0</v>
      </c>
    </row>
    <row r="738">
      <c r="A738" s="1" t="s">
        <v>11</v>
      </c>
      <c r="B738" s="1" t="s">
        <v>748</v>
      </c>
      <c r="C738" s="1" t="s">
        <v>13</v>
      </c>
      <c r="D738" s="2">
        <v>46023.661261574074</v>
      </c>
      <c r="E738" s="3">
        <v>46023.0</v>
      </c>
      <c r="F738" s="3" t="str">
        <f t="shared" si="1"/>
        <v>January-2026</v>
      </c>
      <c r="G738" s="1">
        <v>15.0</v>
      </c>
      <c r="H738" s="1">
        <v>37000.0</v>
      </c>
      <c r="I738" s="1">
        <v>7437.0</v>
      </c>
      <c r="J738" s="1">
        <v>9252.0</v>
      </c>
      <c r="K738" s="1">
        <v>20311.0</v>
      </c>
    </row>
    <row r="739">
      <c r="A739" s="1" t="s">
        <v>11</v>
      </c>
      <c r="B739" s="1" t="s">
        <v>749</v>
      </c>
      <c r="C739" s="1" t="s">
        <v>13</v>
      </c>
      <c r="D739" s="2">
        <v>46023.668541666666</v>
      </c>
      <c r="E739" s="3">
        <v>46023.0</v>
      </c>
      <c r="F739" s="3" t="str">
        <f t="shared" si="1"/>
        <v>January-2026</v>
      </c>
      <c r="G739" s="1">
        <v>16.0</v>
      </c>
      <c r="H739" s="1">
        <v>22900.0</v>
      </c>
      <c r="I739" s="1">
        <v>4500.0</v>
      </c>
      <c r="J739" s="1">
        <v>4900.0</v>
      </c>
      <c r="K739" s="1">
        <v>13500.0</v>
      </c>
    </row>
    <row r="740">
      <c r="A740" s="1" t="s">
        <v>11</v>
      </c>
      <c r="B740" s="1" t="s">
        <v>750</v>
      </c>
      <c r="C740" s="1" t="s">
        <v>13</v>
      </c>
      <c r="D740" s="2">
        <v>46023.70612268519</v>
      </c>
      <c r="E740" s="3">
        <v>46023.0</v>
      </c>
      <c r="F740" s="3" t="str">
        <f t="shared" si="1"/>
        <v>January-2026</v>
      </c>
      <c r="G740" s="1">
        <v>16.0</v>
      </c>
      <c r="H740" s="1">
        <v>101500.0</v>
      </c>
      <c r="I740" s="1">
        <v>19387.0</v>
      </c>
      <c r="J740" s="1">
        <v>32954.0</v>
      </c>
      <c r="K740" s="1">
        <v>49159.0</v>
      </c>
    </row>
    <row r="741">
      <c r="A741" s="1" t="s">
        <v>11</v>
      </c>
      <c r="B741" s="1" t="s">
        <v>751</v>
      </c>
      <c r="C741" s="1" t="s">
        <v>13</v>
      </c>
      <c r="D741" s="2">
        <v>46023.756006944444</v>
      </c>
      <c r="E741" s="3">
        <v>46023.0</v>
      </c>
      <c r="F741" s="3" t="str">
        <f t="shared" si="1"/>
        <v>January-2026</v>
      </c>
      <c r="G741" s="1">
        <v>18.0</v>
      </c>
      <c r="H741" s="1">
        <v>45800.0</v>
      </c>
      <c r="I741" s="1">
        <v>9613.0</v>
      </c>
      <c r="J741" s="1">
        <v>10350.0</v>
      </c>
      <c r="K741" s="1">
        <v>25837.0</v>
      </c>
    </row>
    <row r="742">
      <c r="A742" s="1" t="s">
        <v>11</v>
      </c>
      <c r="B742" s="1" t="s">
        <v>752</v>
      </c>
      <c r="C742" s="1" t="s">
        <v>13</v>
      </c>
      <c r="D742" s="2">
        <v>46023.758043981485</v>
      </c>
      <c r="E742" s="3">
        <v>46023.0</v>
      </c>
      <c r="F742" s="3" t="str">
        <f t="shared" si="1"/>
        <v>January-2026</v>
      </c>
      <c r="G742" s="1">
        <v>18.0</v>
      </c>
      <c r="H742" s="1">
        <v>33800.0</v>
      </c>
      <c r="I742" s="1">
        <v>6794.0</v>
      </c>
      <c r="J742" s="1">
        <v>8625.0</v>
      </c>
      <c r="K742" s="1">
        <v>18381.0</v>
      </c>
    </row>
    <row r="743">
      <c r="A743" s="1" t="s">
        <v>11</v>
      </c>
      <c r="B743" s="1" t="s">
        <v>753</v>
      </c>
      <c r="C743" s="1" t="s">
        <v>13</v>
      </c>
      <c r="D743" s="2">
        <v>46023.812893518516</v>
      </c>
      <c r="E743" s="3">
        <v>46023.0</v>
      </c>
      <c r="F743" s="3" t="str">
        <f t="shared" si="1"/>
        <v>January-2026</v>
      </c>
      <c r="G743" s="1">
        <v>19.0</v>
      </c>
      <c r="H743" s="1">
        <v>119000.0</v>
      </c>
      <c r="I743" s="1">
        <v>22729.0</v>
      </c>
      <c r="J743" s="1">
        <v>37084.0</v>
      </c>
      <c r="K743" s="1">
        <v>59187.0</v>
      </c>
    </row>
    <row r="744">
      <c r="A744" s="1" t="s">
        <v>11</v>
      </c>
      <c r="B744" s="1" t="s">
        <v>754</v>
      </c>
      <c r="C744" s="1" t="s">
        <v>13</v>
      </c>
      <c r="D744" s="2">
        <v>46023.814733796295</v>
      </c>
      <c r="E744" s="3">
        <v>46023.0</v>
      </c>
      <c r="F744" s="3" t="str">
        <f t="shared" si="1"/>
        <v>January-2026</v>
      </c>
      <c r="G744" s="1">
        <v>19.0</v>
      </c>
      <c r="H744" s="1">
        <v>45800.0</v>
      </c>
      <c r="I744" s="1">
        <v>9613.0</v>
      </c>
      <c r="J744" s="1">
        <v>10350.0</v>
      </c>
      <c r="K744" s="1">
        <v>25837.0</v>
      </c>
    </row>
    <row r="745">
      <c r="A745" s="1" t="s">
        <v>11</v>
      </c>
      <c r="B745" s="1" t="s">
        <v>755</v>
      </c>
      <c r="C745" s="1" t="s">
        <v>13</v>
      </c>
      <c r="D745" s="2">
        <v>46023.88894675926</v>
      </c>
      <c r="E745" s="3">
        <v>46023.0</v>
      </c>
      <c r="F745" s="3" t="str">
        <f t="shared" si="1"/>
        <v>January-2026</v>
      </c>
      <c r="G745" s="1">
        <v>21.0</v>
      </c>
      <c r="H745" s="1">
        <v>71600.0</v>
      </c>
      <c r="I745" s="1">
        <v>14204.0</v>
      </c>
      <c r="J745" s="1">
        <v>17786.0</v>
      </c>
      <c r="K745" s="1">
        <v>39610.0</v>
      </c>
    </row>
    <row r="746">
      <c r="A746" s="1" t="s">
        <v>11</v>
      </c>
      <c r="B746" s="1" t="s">
        <v>756</v>
      </c>
      <c r="C746" s="1" t="s">
        <v>13</v>
      </c>
      <c r="D746" s="2">
        <v>46023.90287037037</v>
      </c>
      <c r="E746" s="3">
        <v>46023.0</v>
      </c>
      <c r="F746" s="3" t="str">
        <f t="shared" si="1"/>
        <v>January-2026</v>
      </c>
      <c r="G746" s="1">
        <v>21.0</v>
      </c>
      <c r="H746" s="1">
        <v>22900.0</v>
      </c>
      <c r="I746" s="1">
        <v>4500.0</v>
      </c>
      <c r="J746" s="1">
        <v>4900.0</v>
      </c>
      <c r="K746" s="1">
        <v>13500.0</v>
      </c>
    </row>
    <row r="747">
      <c r="A747" s="1" t="s">
        <v>11</v>
      </c>
      <c r="B747" s="1" t="s">
        <v>757</v>
      </c>
      <c r="C747" s="1" t="s">
        <v>13</v>
      </c>
      <c r="D747" s="2">
        <v>46023.91614583333</v>
      </c>
      <c r="E747" s="3">
        <v>46023.0</v>
      </c>
      <c r="F747" s="3" t="str">
        <f t="shared" si="1"/>
        <v>January-2026</v>
      </c>
      <c r="G747" s="1">
        <v>21.0</v>
      </c>
      <c r="H747" s="1">
        <v>24800.0</v>
      </c>
      <c r="I747" s="1">
        <v>4681.0</v>
      </c>
      <c r="J747" s="1">
        <v>6076.0</v>
      </c>
      <c r="K747" s="1">
        <v>14043.0</v>
      </c>
    </row>
    <row r="748">
      <c r="A748" s="1" t="s">
        <v>11</v>
      </c>
      <c r="B748" s="1" t="s">
        <v>758</v>
      </c>
      <c r="C748" s="1" t="s">
        <v>13</v>
      </c>
      <c r="D748" s="2">
        <v>46023.92752314815</v>
      </c>
      <c r="E748" s="3">
        <v>46023.0</v>
      </c>
      <c r="F748" s="3" t="str">
        <f t="shared" si="1"/>
        <v>January-2026</v>
      </c>
      <c r="G748" s="1">
        <v>22.0</v>
      </c>
      <c r="H748" s="1">
        <v>102400.0</v>
      </c>
      <c r="I748" s="1">
        <v>19559.0</v>
      </c>
      <c r="J748" s="1">
        <v>33167.0</v>
      </c>
      <c r="K748" s="1">
        <v>49674.0</v>
      </c>
    </row>
    <row r="749">
      <c r="A749" s="1" t="s">
        <v>11</v>
      </c>
      <c r="B749" s="1" t="s">
        <v>759</v>
      </c>
      <c r="C749" s="1" t="s">
        <v>13</v>
      </c>
      <c r="D749" s="2">
        <v>46024.46737268518</v>
      </c>
      <c r="E749" s="3">
        <v>46024.0</v>
      </c>
      <c r="F749" s="3" t="str">
        <f t="shared" si="1"/>
        <v>January-2026</v>
      </c>
      <c r="G749" s="1">
        <v>11.0</v>
      </c>
      <c r="H749" s="1">
        <v>18500.0</v>
      </c>
      <c r="I749" s="1">
        <v>3492.0</v>
      </c>
      <c r="J749" s="1">
        <v>4533.0</v>
      </c>
      <c r="K749" s="1">
        <v>10475.0</v>
      </c>
    </row>
    <row r="750">
      <c r="A750" s="1" t="s">
        <v>11</v>
      </c>
      <c r="B750" s="1" t="s">
        <v>760</v>
      </c>
      <c r="C750" s="1" t="s">
        <v>13</v>
      </c>
      <c r="D750" s="2">
        <v>46024.47923611111</v>
      </c>
      <c r="E750" s="3">
        <v>46024.0</v>
      </c>
      <c r="F750" s="3" t="str">
        <f t="shared" si="1"/>
        <v>January-2026</v>
      </c>
      <c r="G750" s="1">
        <v>11.0</v>
      </c>
      <c r="H750" s="1">
        <v>23400.0</v>
      </c>
      <c r="I750" s="1">
        <v>4625.0</v>
      </c>
      <c r="J750" s="1">
        <v>4900.0</v>
      </c>
      <c r="K750" s="1">
        <v>13875.0</v>
      </c>
    </row>
    <row r="751">
      <c r="A751" s="1" t="s">
        <v>11</v>
      </c>
      <c r="B751" s="1" t="s">
        <v>761</v>
      </c>
      <c r="C751" s="1" t="s">
        <v>13</v>
      </c>
      <c r="D751" s="2">
        <v>46024.523043981484</v>
      </c>
      <c r="E751" s="3">
        <v>46024.0</v>
      </c>
      <c r="F751" s="3" t="str">
        <f t="shared" si="1"/>
        <v>January-2026</v>
      </c>
      <c r="G751" s="1">
        <v>12.0</v>
      </c>
      <c r="H751" s="1">
        <v>22900.0</v>
      </c>
      <c r="I751" s="1">
        <v>4500.0</v>
      </c>
      <c r="J751" s="1">
        <v>4900.0</v>
      </c>
      <c r="K751" s="1">
        <v>13500.0</v>
      </c>
    </row>
    <row r="752">
      <c r="A752" s="1" t="s">
        <v>11</v>
      </c>
      <c r="B752" s="1" t="s">
        <v>762</v>
      </c>
      <c r="C752" s="1" t="s">
        <v>13</v>
      </c>
      <c r="D752" s="2">
        <v>46024.60726851852</v>
      </c>
      <c r="E752" s="3">
        <v>46024.0</v>
      </c>
      <c r="F752" s="3" t="str">
        <f t="shared" si="1"/>
        <v>January-2026</v>
      </c>
      <c r="G752" s="1">
        <v>14.0</v>
      </c>
      <c r="H752" s="1">
        <v>101200.0</v>
      </c>
      <c r="I752" s="1">
        <v>19329.0</v>
      </c>
      <c r="J752" s="1">
        <v>31884.0</v>
      </c>
      <c r="K752" s="1">
        <v>49987.0</v>
      </c>
    </row>
    <row r="753">
      <c r="A753" s="1" t="s">
        <v>11</v>
      </c>
      <c r="B753" s="1" t="s">
        <v>763</v>
      </c>
      <c r="C753" s="1" t="s">
        <v>13</v>
      </c>
      <c r="D753" s="2">
        <v>46024.71513888889</v>
      </c>
      <c r="E753" s="3">
        <v>46024.0</v>
      </c>
      <c r="F753" s="3" t="str">
        <f t="shared" si="1"/>
        <v>January-2026</v>
      </c>
      <c r="G753" s="1">
        <v>17.0</v>
      </c>
      <c r="H753" s="1">
        <v>22900.0</v>
      </c>
      <c r="I753" s="1">
        <v>4500.0</v>
      </c>
      <c r="J753" s="1">
        <v>4900.0</v>
      </c>
      <c r="K753" s="1">
        <v>13500.0</v>
      </c>
    </row>
    <row r="754">
      <c r="A754" s="1" t="s">
        <v>11</v>
      </c>
      <c r="B754" s="1" t="s">
        <v>764</v>
      </c>
      <c r="C754" s="1" t="s">
        <v>13</v>
      </c>
      <c r="D754" s="2">
        <v>46024.761342592596</v>
      </c>
      <c r="E754" s="3">
        <v>46024.0</v>
      </c>
      <c r="F754" s="3" t="str">
        <f t="shared" si="1"/>
        <v>January-2026</v>
      </c>
      <c r="G754" s="1">
        <v>18.0</v>
      </c>
      <c r="H754" s="1">
        <v>22900.0</v>
      </c>
      <c r="I754" s="1">
        <v>4323.0</v>
      </c>
      <c r="J754" s="1">
        <v>5611.0</v>
      </c>
      <c r="K754" s="1">
        <v>12966.0</v>
      </c>
    </row>
    <row r="755">
      <c r="A755" s="1" t="s">
        <v>11</v>
      </c>
      <c r="B755" s="1" t="s">
        <v>765</v>
      </c>
      <c r="C755" s="1" t="s">
        <v>13</v>
      </c>
      <c r="D755" s="2">
        <v>46024.819189814814</v>
      </c>
      <c r="E755" s="3">
        <v>46024.0</v>
      </c>
      <c r="F755" s="3" t="str">
        <f t="shared" si="1"/>
        <v>January-2026</v>
      </c>
      <c r="G755" s="1">
        <v>19.0</v>
      </c>
      <c r="H755" s="1">
        <v>64600.0</v>
      </c>
      <c r="I755" s="1">
        <v>12815.0</v>
      </c>
      <c r="J755" s="1">
        <v>17340.0</v>
      </c>
      <c r="K755" s="1">
        <v>34445.0</v>
      </c>
    </row>
    <row r="756">
      <c r="A756" s="1" t="s">
        <v>11</v>
      </c>
      <c r="B756" s="1" t="s">
        <v>766</v>
      </c>
      <c r="C756" s="1" t="s">
        <v>13</v>
      </c>
      <c r="D756" s="2">
        <v>46024.859444444446</v>
      </c>
      <c r="E756" s="3">
        <v>46024.0</v>
      </c>
      <c r="F756" s="3" t="str">
        <f t="shared" si="1"/>
        <v>January-2026</v>
      </c>
      <c r="G756" s="1">
        <v>20.0</v>
      </c>
      <c r="H756" s="1">
        <v>21800.0</v>
      </c>
      <c r="I756" s="1">
        <v>4225.0</v>
      </c>
      <c r="J756" s="1">
        <v>4900.0</v>
      </c>
      <c r="K756" s="1">
        <v>12675.0</v>
      </c>
    </row>
    <row r="757">
      <c r="A757" s="1" t="s">
        <v>11</v>
      </c>
      <c r="B757" s="1" t="s">
        <v>767</v>
      </c>
      <c r="C757" s="1" t="s">
        <v>13</v>
      </c>
      <c r="D757" s="2">
        <v>46024.86087962963</v>
      </c>
      <c r="E757" s="3">
        <v>46024.0</v>
      </c>
      <c r="F757" s="3" t="str">
        <f t="shared" si="1"/>
        <v>January-2026</v>
      </c>
      <c r="G757" s="1">
        <v>20.0</v>
      </c>
      <c r="H757" s="1">
        <v>22500.0</v>
      </c>
      <c r="I757" s="1">
        <v>4400.0</v>
      </c>
      <c r="J757" s="1">
        <v>4900.0</v>
      </c>
      <c r="K757" s="1">
        <v>13200.0</v>
      </c>
    </row>
    <row r="758">
      <c r="A758" s="1" t="s">
        <v>11</v>
      </c>
      <c r="B758" s="1" t="s">
        <v>768</v>
      </c>
      <c r="C758" s="1" t="s">
        <v>13</v>
      </c>
      <c r="D758" s="2">
        <v>46024.868101851855</v>
      </c>
      <c r="E758" s="3">
        <v>46024.0</v>
      </c>
      <c r="F758" s="3" t="str">
        <f t="shared" si="1"/>
        <v>January-2026</v>
      </c>
      <c r="G758" s="1">
        <v>20.0</v>
      </c>
      <c r="H758" s="1">
        <v>22900.0</v>
      </c>
      <c r="I758" s="1">
        <v>5725.0</v>
      </c>
      <c r="J758" s="1">
        <v>0.0</v>
      </c>
      <c r="K758" s="1">
        <v>17175.0</v>
      </c>
    </row>
    <row r="759">
      <c r="A759" s="1" t="s">
        <v>11</v>
      </c>
      <c r="B759" s="1" t="s">
        <v>769</v>
      </c>
      <c r="C759" s="1" t="s">
        <v>13</v>
      </c>
      <c r="D759" s="2">
        <v>46024.877916666665</v>
      </c>
      <c r="E759" s="3">
        <v>46024.0</v>
      </c>
      <c r="F759" s="3" t="str">
        <f t="shared" si="1"/>
        <v>January-2026</v>
      </c>
      <c r="G759" s="1">
        <v>21.0</v>
      </c>
      <c r="H759" s="1">
        <v>45800.0</v>
      </c>
      <c r="I759" s="1">
        <v>9613.0</v>
      </c>
      <c r="J759" s="1">
        <v>10350.0</v>
      </c>
      <c r="K759" s="1">
        <v>25837.0</v>
      </c>
    </row>
    <row r="760">
      <c r="A760" s="1" t="s">
        <v>11</v>
      </c>
      <c r="B760" s="1" t="s">
        <v>770</v>
      </c>
      <c r="C760" s="1" t="s">
        <v>13</v>
      </c>
      <c r="D760" s="2">
        <v>46024.92431712963</v>
      </c>
      <c r="E760" s="3">
        <v>46024.0</v>
      </c>
      <c r="F760" s="3" t="str">
        <f t="shared" si="1"/>
        <v>January-2026</v>
      </c>
      <c r="G760" s="1">
        <v>22.0</v>
      </c>
      <c r="H760" s="1">
        <v>30000.0</v>
      </c>
      <c r="I760" s="1">
        <v>5663.0</v>
      </c>
      <c r="J760" s="1">
        <v>9350.0</v>
      </c>
      <c r="K760" s="1">
        <v>14987.0</v>
      </c>
    </row>
    <row r="761">
      <c r="A761" s="1" t="s">
        <v>11</v>
      </c>
      <c r="B761" s="1" t="s">
        <v>771</v>
      </c>
      <c r="C761" s="1" t="s">
        <v>13</v>
      </c>
      <c r="D761" s="2">
        <v>46024.92523148148</v>
      </c>
      <c r="E761" s="3">
        <v>46024.0</v>
      </c>
      <c r="F761" s="3" t="str">
        <f t="shared" si="1"/>
        <v>January-2026</v>
      </c>
      <c r="G761" s="1">
        <v>22.0</v>
      </c>
      <c r="H761" s="1">
        <v>36400.0</v>
      </c>
      <c r="I761" s="1">
        <v>7317.0</v>
      </c>
      <c r="J761" s="1">
        <v>9135.0</v>
      </c>
      <c r="K761" s="1">
        <v>19948.0</v>
      </c>
    </row>
    <row r="762">
      <c r="A762" s="1" t="s">
        <v>11</v>
      </c>
      <c r="B762" s="1" t="s">
        <v>772</v>
      </c>
      <c r="C762" s="1" t="s">
        <v>13</v>
      </c>
      <c r="D762" s="2">
        <v>46024.94226851852</v>
      </c>
      <c r="E762" s="3">
        <v>46024.0</v>
      </c>
      <c r="F762" s="3" t="str">
        <f t="shared" si="1"/>
        <v>January-2026</v>
      </c>
      <c r="G762" s="1">
        <v>22.0</v>
      </c>
      <c r="H762" s="1">
        <v>32700.0</v>
      </c>
      <c r="I762" s="1">
        <v>6338.0</v>
      </c>
      <c r="J762" s="1">
        <v>9350.0</v>
      </c>
      <c r="K762" s="1">
        <v>17012.0</v>
      </c>
    </row>
    <row r="763">
      <c r="A763" s="1" t="s">
        <v>11</v>
      </c>
      <c r="B763" s="1" t="s">
        <v>773</v>
      </c>
      <c r="C763" s="1" t="s">
        <v>13</v>
      </c>
      <c r="D763" s="2">
        <v>46025.60333333333</v>
      </c>
      <c r="E763" s="3">
        <v>46025.0</v>
      </c>
      <c r="F763" s="3" t="str">
        <f t="shared" si="1"/>
        <v>January-2026</v>
      </c>
      <c r="G763" s="1">
        <v>14.0</v>
      </c>
      <c r="H763" s="1">
        <v>26500.0</v>
      </c>
      <c r="I763" s="1">
        <v>5400.0</v>
      </c>
      <c r="J763" s="1">
        <v>4900.0</v>
      </c>
      <c r="K763" s="1">
        <v>16200.0</v>
      </c>
    </row>
    <row r="764">
      <c r="A764" s="1" t="s">
        <v>11</v>
      </c>
      <c r="B764" s="1" t="s">
        <v>774</v>
      </c>
      <c r="C764" s="1" t="s">
        <v>13</v>
      </c>
      <c r="D764" s="2">
        <v>46025.659895833334</v>
      </c>
      <c r="E764" s="3">
        <v>46025.0</v>
      </c>
      <c r="F764" s="3" t="str">
        <f t="shared" si="1"/>
        <v>January-2026</v>
      </c>
      <c r="G764" s="1">
        <v>15.0</v>
      </c>
      <c r="H764" s="1">
        <v>32700.0</v>
      </c>
      <c r="I764" s="1">
        <v>6338.0</v>
      </c>
      <c r="J764" s="1">
        <v>9350.0</v>
      </c>
      <c r="K764" s="1">
        <v>17012.0</v>
      </c>
    </row>
    <row r="765">
      <c r="A765" s="1" t="s">
        <v>11</v>
      </c>
      <c r="B765" s="1" t="s">
        <v>775</v>
      </c>
      <c r="C765" s="1" t="s">
        <v>13</v>
      </c>
      <c r="D765" s="2">
        <v>46025.71241898148</v>
      </c>
      <c r="E765" s="3">
        <v>46025.0</v>
      </c>
      <c r="F765" s="3" t="str">
        <f t="shared" si="1"/>
        <v>January-2026</v>
      </c>
      <c r="G765" s="1">
        <v>17.0</v>
      </c>
      <c r="H765" s="1">
        <v>79500.0</v>
      </c>
      <c r="I765" s="1">
        <v>15771.0</v>
      </c>
      <c r="J765" s="1">
        <v>20417.0</v>
      </c>
      <c r="K765" s="1">
        <v>43312.0</v>
      </c>
    </row>
    <row r="766">
      <c r="A766" s="1" t="s">
        <v>11</v>
      </c>
      <c r="B766" s="1" t="s">
        <v>776</v>
      </c>
      <c r="C766" s="1" t="s">
        <v>13</v>
      </c>
      <c r="D766" s="2">
        <v>46025.77753472222</v>
      </c>
      <c r="E766" s="3">
        <v>46025.0</v>
      </c>
      <c r="F766" s="3" t="str">
        <f t="shared" si="1"/>
        <v>January-2026</v>
      </c>
      <c r="G766" s="1">
        <v>18.0</v>
      </c>
      <c r="H766" s="1">
        <v>22900.0</v>
      </c>
      <c r="I766" s="1">
        <v>4500.0</v>
      </c>
      <c r="J766" s="1">
        <v>4900.0</v>
      </c>
      <c r="K766" s="1">
        <v>13500.0</v>
      </c>
    </row>
    <row r="767">
      <c r="A767" s="1" t="s">
        <v>11</v>
      </c>
      <c r="B767" s="1" t="s">
        <v>777</v>
      </c>
      <c r="C767" s="1" t="s">
        <v>13</v>
      </c>
      <c r="D767" s="2">
        <v>46025.79005787037</v>
      </c>
      <c r="E767" s="3">
        <v>46025.0</v>
      </c>
      <c r="F767" s="3" t="str">
        <f t="shared" si="1"/>
        <v>January-2026</v>
      </c>
      <c r="G767" s="1">
        <v>18.0</v>
      </c>
      <c r="H767" s="1">
        <v>33000.0</v>
      </c>
      <c r="I767" s="1">
        <v>6413.0</v>
      </c>
      <c r="J767" s="1">
        <v>9350.0</v>
      </c>
      <c r="K767" s="1">
        <v>17237.0</v>
      </c>
    </row>
    <row r="768">
      <c r="A768" s="1" t="s">
        <v>11</v>
      </c>
      <c r="B768" s="1" t="s">
        <v>778</v>
      </c>
      <c r="C768" s="1" t="s">
        <v>13</v>
      </c>
      <c r="D768" s="2">
        <v>46025.82027777778</v>
      </c>
      <c r="E768" s="3">
        <v>46025.0</v>
      </c>
      <c r="F768" s="3" t="str">
        <f t="shared" si="1"/>
        <v>January-2026</v>
      </c>
      <c r="G768" s="1">
        <v>19.0</v>
      </c>
      <c r="H768" s="1">
        <v>54000.0</v>
      </c>
      <c r="I768" s="1">
        <v>10713.0</v>
      </c>
      <c r="J768" s="1">
        <v>15151.0</v>
      </c>
      <c r="K768" s="1">
        <v>28136.0</v>
      </c>
    </row>
    <row r="769">
      <c r="A769" s="1" t="s">
        <v>11</v>
      </c>
      <c r="B769" s="1" t="s">
        <v>779</v>
      </c>
      <c r="C769" s="1" t="s">
        <v>13</v>
      </c>
      <c r="D769" s="2">
        <v>46025.853993055556</v>
      </c>
      <c r="E769" s="3">
        <v>46025.0</v>
      </c>
      <c r="F769" s="3" t="str">
        <f t="shared" si="1"/>
        <v>January-2026</v>
      </c>
      <c r="G769" s="1">
        <v>20.0</v>
      </c>
      <c r="H769" s="1">
        <v>41200.0</v>
      </c>
      <c r="I769" s="1">
        <v>8463.0</v>
      </c>
      <c r="J769" s="1">
        <v>10350.0</v>
      </c>
      <c r="K769" s="1">
        <v>22387.0</v>
      </c>
    </row>
    <row r="770">
      <c r="A770" s="1" t="s">
        <v>11</v>
      </c>
      <c r="B770" s="1" t="s">
        <v>780</v>
      </c>
      <c r="C770" s="1" t="s">
        <v>13</v>
      </c>
      <c r="D770" s="2">
        <v>46025.85611111111</v>
      </c>
      <c r="E770" s="3">
        <v>46025.0</v>
      </c>
      <c r="F770" s="3" t="str">
        <f t="shared" si="1"/>
        <v>January-2026</v>
      </c>
      <c r="G770" s="1">
        <v>20.0</v>
      </c>
      <c r="H770" s="1">
        <v>49200.0</v>
      </c>
      <c r="I770" s="1">
        <v>10463.0</v>
      </c>
      <c r="J770" s="1">
        <v>10350.0</v>
      </c>
      <c r="K770" s="1">
        <v>28387.0</v>
      </c>
    </row>
    <row r="771">
      <c r="A771" s="1" t="s">
        <v>11</v>
      </c>
      <c r="B771" s="1" t="s">
        <v>781</v>
      </c>
      <c r="C771" s="1" t="s">
        <v>13</v>
      </c>
      <c r="D771" s="2">
        <v>46025.87013888889</v>
      </c>
      <c r="E771" s="3">
        <v>46025.0</v>
      </c>
      <c r="F771" s="3" t="str">
        <f t="shared" si="1"/>
        <v>January-2026</v>
      </c>
      <c r="G771" s="1">
        <v>20.0</v>
      </c>
      <c r="H771" s="1">
        <v>32700.0</v>
      </c>
      <c r="I771" s="1">
        <v>6338.0</v>
      </c>
      <c r="J771" s="1">
        <v>9350.0</v>
      </c>
      <c r="K771" s="1">
        <v>17012.0</v>
      </c>
    </row>
    <row r="772">
      <c r="A772" s="1" t="s">
        <v>11</v>
      </c>
      <c r="B772" s="1" t="s">
        <v>782</v>
      </c>
      <c r="C772" s="1" t="s">
        <v>13</v>
      </c>
      <c r="D772" s="2">
        <v>46025.912997685184</v>
      </c>
      <c r="E772" s="3">
        <v>46025.0</v>
      </c>
      <c r="F772" s="3" t="str">
        <f t="shared" si="1"/>
        <v>January-2026</v>
      </c>
      <c r="G772" s="1">
        <v>21.0</v>
      </c>
      <c r="H772" s="1">
        <v>26500.0</v>
      </c>
      <c r="I772" s="1">
        <v>5400.0</v>
      </c>
      <c r="J772" s="1">
        <v>4900.0</v>
      </c>
      <c r="K772" s="1">
        <v>16200.0</v>
      </c>
    </row>
    <row r="773">
      <c r="A773" s="1" t="s">
        <v>11</v>
      </c>
      <c r="B773" s="1" t="s">
        <v>783</v>
      </c>
      <c r="C773" s="1" t="s">
        <v>13</v>
      </c>
      <c r="D773" s="2">
        <v>46025.932534722226</v>
      </c>
      <c r="E773" s="3">
        <v>46025.0</v>
      </c>
      <c r="F773" s="3" t="str">
        <f t="shared" si="1"/>
        <v>January-2026</v>
      </c>
      <c r="G773" s="1">
        <v>22.0</v>
      </c>
      <c r="H773" s="1">
        <v>37300.0</v>
      </c>
      <c r="I773" s="1">
        <v>7498.0</v>
      </c>
      <c r="J773" s="1">
        <v>9311.0</v>
      </c>
      <c r="K773" s="1">
        <v>20491.0</v>
      </c>
    </row>
    <row r="774">
      <c r="A774" s="1" t="s">
        <v>11</v>
      </c>
      <c r="B774" s="1" t="s">
        <v>784</v>
      </c>
      <c r="C774" s="1" t="s">
        <v>13</v>
      </c>
      <c r="D774" s="2">
        <v>46026.48998842593</v>
      </c>
      <c r="E774" s="3">
        <v>46026.0</v>
      </c>
      <c r="F774" s="3" t="str">
        <f t="shared" si="1"/>
        <v>January-2026</v>
      </c>
      <c r="G774" s="1">
        <v>11.0</v>
      </c>
      <c r="H774" s="1">
        <v>22900.0</v>
      </c>
      <c r="I774" s="1">
        <v>4323.0</v>
      </c>
      <c r="J774" s="1">
        <v>5611.0</v>
      </c>
      <c r="K774" s="1">
        <v>12966.0</v>
      </c>
    </row>
    <row r="775">
      <c r="A775" s="1" t="s">
        <v>11</v>
      </c>
      <c r="B775" s="1" t="s">
        <v>785</v>
      </c>
      <c r="C775" s="1" t="s">
        <v>13</v>
      </c>
      <c r="D775" s="2">
        <v>46026.50790509259</v>
      </c>
      <c r="E775" s="3">
        <v>46026.0</v>
      </c>
      <c r="F775" s="3" t="str">
        <f t="shared" si="1"/>
        <v>January-2026</v>
      </c>
      <c r="G775" s="1">
        <v>12.0</v>
      </c>
      <c r="H775" s="1">
        <v>46200.0</v>
      </c>
      <c r="I775" s="1">
        <v>9713.0</v>
      </c>
      <c r="J775" s="1">
        <v>10350.0</v>
      </c>
      <c r="K775" s="1">
        <v>26137.0</v>
      </c>
    </row>
    <row r="776">
      <c r="A776" s="1" t="s">
        <v>11</v>
      </c>
      <c r="B776" s="1" t="s">
        <v>786</v>
      </c>
      <c r="C776" s="1" t="s">
        <v>13</v>
      </c>
      <c r="D776" s="2">
        <v>46026.71638888889</v>
      </c>
      <c r="E776" s="3">
        <v>46026.0</v>
      </c>
      <c r="F776" s="3" t="str">
        <f t="shared" si="1"/>
        <v>January-2026</v>
      </c>
      <c r="G776" s="1">
        <v>17.0</v>
      </c>
      <c r="H776" s="1">
        <v>22900.0</v>
      </c>
      <c r="I776" s="1">
        <v>4323.0</v>
      </c>
      <c r="J776" s="1">
        <v>5611.0</v>
      </c>
      <c r="K776" s="1">
        <v>12966.0</v>
      </c>
    </row>
    <row r="777">
      <c r="A777" s="1" t="s">
        <v>11</v>
      </c>
      <c r="B777" s="1" t="s">
        <v>787</v>
      </c>
      <c r="C777" s="1" t="s">
        <v>13</v>
      </c>
      <c r="D777" s="2">
        <v>46026.84239583334</v>
      </c>
      <c r="E777" s="3">
        <v>46026.0</v>
      </c>
      <c r="F777" s="3" t="str">
        <f t="shared" si="1"/>
        <v>January-2026</v>
      </c>
      <c r="G777" s="1">
        <v>20.0</v>
      </c>
      <c r="H777" s="1">
        <v>22900.0</v>
      </c>
      <c r="I777" s="1">
        <v>4500.0</v>
      </c>
      <c r="J777" s="1">
        <v>4900.0</v>
      </c>
      <c r="K777" s="1">
        <v>13500.0</v>
      </c>
    </row>
    <row r="778">
      <c r="A778" s="1" t="s">
        <v>11</v>
      </c>
      <c r="B778" s="1" t="s">
        <v>788</v>
      </c>
      <c r="C778" s="1" t="s">
        <v>13</v>
      </c>
      <c r="D778" s="2">
        <v>46026.85430555556</v>
      </c>
      <c r="E778" s="3">
        <v>46026.0</v>
      </c>
      <c r="F778" s="3" t="str">
        <f t="shared" si="1"/>
        <v>January-2026</v>
      </c>
      <c r="G778" s="1">
        <v>20.0</v>
      </c>
      <c r="H778" s="1">
        <v>49400.0</v>
      </c>
      <c r="I778" s="1">
        <v>10513.0</v>
      </c>
      <c r="J778" s="1">
        <v>10350.0</v>
      </c>
      <c r="K778" s="1">
        <v>28537.0</v>
      </c>
    </row>
    <row r="779">
      <c r="A779" s="1" t="s">
        <v>11</v>
      </c>
      <c r="B779" s="1" t="s">
        <v>789</v>
      </c>
      <c r="C779" s="1" t="s">
        <v>13</v>
      </c>
      <c r="D779" s="2">
        <v>46026.86053240741</v>
      </c>
      <c r="E779" s="3">
        <v>46026.0</v>
      </c>
      <c r="F779" s="3" t="str">
        <f t="shared" si="1"/>
        <v>January-2026</v>
      </c>
      <c r="G779" s="1">
        <v>20.0</v>
      </c>
      <c r="H779" s="1">
        <v>38400.0</v>
      </c>
      <c r="I779" s="1">
        <v>7763.0</v>
      </c>
      <c r="J779" s="1">
        <v>9350.0</v>
      </c>
      <c r="K779" s="1">
        <v>21287.0</v>
      </c>
    </row>
    <row r="780">
      <c r="A780" s="1" t="s">
        <v>11</v>
      </c>
      <c r="B780" s="1" t="s">
        <v>790</v>
      </c>
      <c r="C780" s="1" t="s">
        <v>13</v>
      </c>
      <c r="D780" s="2">
        <v>46026.868113425924</v>
      </c>
      <c r="E780" s="3">
        <v>46026.0</v>
      </c>
      <c r="F780" s="3" t="str">
        <f t="shared" si="1"/>
        <v>January-2026</v>
      </c>
      <c r="G780" s="1">
        <v>20.0</v>
      </c>
      <c r="H780" s="1">
        <v>45800.0</v>
      </c>
      <c r="I780" s="1">
        <v>9613.0</v>
      </c>
      <c r="J780" s="1">
        <v>10350.0</v>
      </c>
      <c r="K780" s="1">
        <v>25837.0</v>
      </c>
    </row>
    <row r="781">
      <c r="A781" s="1" t="s">
        <v>11</v>
      </c>
      <c r="B781" s="1" t="s">
        <v>791</v>
      </c>
      <c r="C781" s="1" t="s">
        <v>13</v>
      </c>
      <c r="D781" s="2">
        <v>46026.88170138889</v>
      </c>
      <c r="E781" s="3">
        <v>46026.0</v>
      </c>
      <c r="F781" s="3" t="str">
        <f t="shared" si="1"/>
        <v>January-2026</v>
      </c>
      <c r="G781" s="1">
        <v>21.0</v>
      </c>
      <c r="H781" s="1">
        <v>33800.0</v>
      </c>
      <c r="I781" s="1">
        <v>6794.0</v>
      </c>
      <c r="J781" s="1">
        <v>8625.0</v>
      </c>
      <c r="K781" s="1">
        <v>18381.0</v>
      </c>
    </row>
    <row r="782">
      <c r="A782" s="1" t="s">
        <v>11</v>
      </c>
      <c r="B782" s="1" t="s">
        <v>792</v>
      </c>
      <c r="C782" s="1" t="s">
        <v>13</v>
      </c>
      <c r="D782" s="2">
        <v>46026.93336805556</v>
      </c>
      <c r="E782" s="3">
        <v>46026.0</v>
      </c>
      <c r="F782" s="3" t="str">
        <f t="shared" si="1"/>
        <v>January-2026</v>
      </c>
      <c r="G782" s="1">
        <v>22.0</v>
      </c>
      <c r="H782" s="1">
        <v>22900.0</v>
      </c>
      <c r="I782" s="1">
        <v>4323.0</v>
      </c>
      <c r="J782" s="1">
        <v>5611.0</v>
      </c>
      <c r="K782" s="1">
        <v>12966.0</v>
      </c>
    </row>
    <row r="783">
      <c r="A783" s="1" t="s">
        <v>11</v>
      </c>
      <c r="B783" s="1" t="s">
        <v>793</v>
      </c>
      <c r="C783" s="1" t="s">
        <v>13</v>
      </c>
      <c r="D783" s="2">
        <v>46026.93712962963</v>
      </c>
      <c r="E783" s="3">
        <v>46026.0</v>
      </c>
      <c r="F783" s="3" t="str">
        <f t="shared" si="1"/>
        <v>January-2026</v>
      </c>
      <c r="G783" s="1">
        <v>22.0</v>
      </c>
      <c r="H783" s="1">
        <v>24800.0</v>
      </c>
      <c r="I783" s="1">
        <v>4975.0</v>
      </c>
      <c r="J783" s="1">
        <v>4900.0</v>
      </c>
      <c r="K783" s="1">
        <v>14925.0</v>
      </c>
    </row>
    <row r="784">
      <c r="A784" s="1" t="s">
        <v>11</v>
      </c>
      <c r="B784" s="1" t="s">
        <v>794</v>
      </c>
      <c r="C784" s="1" t="s">
        <v>13</v>
      </c>
      <c r="D784" s="2">
        <v>46027.61309027778</v>
      </c>
      <c r="E784" s="3">
        <v>46027.0</v>
      </c>
      <c r="F784" s="3" t="str">
        <f t="shared" si="1"/>
        <v>January-2026</v>
      </c>
      <c r="G784" s="1">
        <v>14.0</v>
      </c>
      <c r="H784" s="1">
        <v>18500.0</v>
      </c>
      <c r="I784" s="1">
        <v>3492.0</v>
      </c>
      <c r="J784" s="1">
        <v>4533.0</v>
      </c>
      <c r="K784" s="1">
        <v>10475.0</v>
      </c>
    </row>
    <row r="785">
      <c r="A785" s="1" t="s">
        <v>11</v>
      </c>
      <c r="B785" s="1" t="s">
        <v>795</v>
      </c>
      <c r="C785" s="1" t="s">
        <v>13</v>
      </c>
      <c r="D785" s="2">
        <v>46027.63903935185</v>
      </c>
      <c r="E785" s="3">
        <v>46027.0</v>
      </c>
      <c r="F785" s="3" t="str">
        <f t="shared" si="1"/>
        <v>January-2026</v>
      </c>
      <c r="G785" s="1">
        <v>15.0</v>
      </c>
      <c r="H785" s="1">
        <v>18500.0</v>
      </c>
      <c r="I785" s="1">
        <v>3945.0</v>
      </c>
      <c r="J785" s="1">
        <v>2720.0</v>
      </c>
      <c r="K785" s="1">
        <v>11835.0</v>
      </c>
    </row>
    <row r="786">
      <c r="A786" s="1" t="s">
        <v>11</v>
      </c>
      <c r="B786" s="1" t="s">
        <v>796</v>
      </c>
      <c r="C786" s="1" t="s">
        <v>13</v>
      </c>
      <c r="D786" s="2">
        <v>46027.658009259256</v>
      </c>
      <c r="E786" s="3">
        <v>46027.0</v>
      </c>
      <c r="F786" s="3" t="str">
        <f t="shared" si="1"/>
        <v>January-2026</v>
      </c>
      <c r="G786" s="1">
        <v>15.0</v>
      </c>
      <c r="H786" s="1">
        <v>35800.0</v>
      </c>
      <c r="I786" s="1">
        <v>7196.0</v>
      </c>
      <c r="J786" s="1">
        <v>9017.0</v>
      </c>
      <c r="K786" s="1">
        <v>19587.0</v>
      </c>
    </row>
    <row r="787">
      <c r="A787" s="1" t="s">
        <v>11</v>
      </c>
      <c r="B787" s="1" t="s">
        <v>797</v>
      </c>
      <c r="C787" s="1" t="s">
        <v>13</v>
      </c>
      <c r="D787" s="2">
        <v>46027.670335648145</v>
      </c>
      <c r="E787" s="3">
        <v>46027.0</v>
      </c>
      <c r="F787" s="3" t="str">
        <f t="shared" si="1"/>
        <v>January-2026</v>
      </c>
      <c r="G787" s="1">
        <v>16.0</v>
      </c>
      <c r="H787" s="1">
        <v>31300.0</v>
      </c>
      <c r="I787" s="1">
        <v>6407.0</v>
      </c>
      <c r="J787" s="1">
        <v>7675.0</v>
      </c>
      <c r="K787" s="1">
        <v>17218.0</v>
      </c>
    </row>
    <row r="788">
      <c r="A788" s="1" t="s">
        <v>11</v>
      </c>
      <c r="B788" s="1" t="s">
        <v>798</v>
      </c>
      <c r="C788" s="1" t="s">
        <v>13</v>
      </c>
      <c r="D788" s="2">
        <v>46027.82685185185</v>
      </c>
      <c r="E788" s="3">
        <v>46027.0</v>
      </c>
      <c r="F788" s="3" t="str">
        <f t="shared" si="1"/>
        <v>January-2026</v>
      </c>
      <c r="G788" s="1">
        <v>19.0</v>
      </c>
      <c r="H788" s="1">
        <v>26800.0</v>
      </c>
      <c r="I788" s="1">
        <v>4730.0</v>
      </c>
      <c r="J788" s="1">
        <v>7880.0</v>
      </c>
      <c r="K788" s="1">
        <v>14190.0</v>
      </c>
    </row>
    <row r="789">
      <c r="A789" s="1" t="s">
        <v>11</v>
      </c>
      <c r="B789" s="1" t="s">
        <v>799</v>
      </c>
      <c r="C789" s="1" t="s">
        <v>13</v>
      </c>
      <c r="D789" s="2">
        <v>46027.86653935185</v>
      </c>
      <c r="E789" s="3">
        <v>46027.0</v>
      </c>
      <c r="F789" s="3" t="str">
        <f t="shared" si="1"/>
        <v>January-2026</v>
      </c>
      <c r="G789" s="1">
        <v>20.0</v>
      </c>
      <c r="H789" s="1">
        <v>22900.0</v>
      </c>
      <c r="I789" s="1">
        <v>4500.0</v>
      </c>
      <c r="J789" s="1">
        <v>4900.0</v>
      </c>
      <c r="K789" s="1">
        <v>13500.0</v>
      </c>
    </row>
    <row r="790">
      <c r="A790" s="1" t="s">
        <v>11</v>
      </c>
      <c r="B790" s="1" t="s">
        <v>800</v>
      </c>
      <c r="C790" s="1" t="s">
        <v>13</v>
      </c>
      <c r="D790" s="2">
        <v>46027.89096064815</v>
      </c>
      <c r="E790" s="3">
        <v>46027.0</v>
      </c>
      <c r="F790" s="3" t="str">
        <f t="shared" si="1"/>
        <v>January-2026</v>
      </c>
      <c r="G790" s="1">
        <v>21.0</v>
      </c>
      <c r="H790" s="1">
        <v>17900.0</v>
      </c>
      <c r="I790" s="1">
        <v>3598.0</v>
      </c>
      <c r="J790" s="1">
        <v>3509.0</v>
      </c>
      <c r="K790" s="1">
        <v>10793.0</v>
      </c>
    </row>
    <row r="791">
      <c r="A791" s="1" t="s">
        <v>11</v>
      </c>
      <c r="B791" s="1" t="s">
        <v>801</v>
      </c>
      <c r="C791" s="1" t="s">
        <v>13</v>
      </c>
      <c r="D791" s="2">
        <v>46027.91945601852</v>
      </c>
      <c r="E791" s="3">
        <v>46027.0</v>
      </c>
      <c r="F791" s="3" t="str">
        <f t="shared" si="1"/>
        <v>January-2026</v>
      </c>
      <c r="G791" s="1">
        <v>22.0</v>
      </c>
      <c r="H791" s="1">
        <v>17900.0</v>
      </c>
      <c r="I791" s="1">
        <v>3379.0</v>
      </c>
      <c r="J791" s="1">
        <v>4386.0</v>
      </c>
      <c r="K791" s="1">
        <v>10135.0</v>
      </c>
    </row>
    <row r="792">
      <c r="A792" s="1" t="s">
        <v>11</v>
      </c>
      <c r="B792" s="1" t="s">
        <v>802</v>
      </c>
      <c r="C792" s="1" t="s">
        <v>13</v>
      </c>
      <c r="D792" s="2">
        <v>46028.588113425925</v>
      </c>
      <c r="E792" s="3">
        <v>46028.0</v>
      </c>
      <c r="F792" s="3" t="str">
        <f t="shared" si="1"/>
        <v>January-2026</v>
      </c>
      <c r="G792" s="1">
        <v>14.0</v>
      </c>
      <c r="H792" s="1">
        <v>39200.0</v>
      </c>
      <c r="I792" s="1">
        <v>7963.0</v>
      </c>
      <c r="J792" s="1">
        <v>9350.0</v>
      </c>
      <c r="K792" s="1">
        <v>21887.0</v>
      </c>
    </row>
    <row r="793">
      <c r="A793" s="1" t="s">
        <v>11</v>
      </c>
      <c r="B793" s="1" t="s">
        <v>803</v>
      </c>
      <c r="C793" s="1" t="s">
        <v>13</v>
      </c>
      <c r="D793" s="2">
        <v>46028.63649305556</v>
      </c>
      <c r="E793" s="3">
        <v>46028.0</v>
      </c>
      <c r="F793" s="3" t="str">
        <f t="shared" si="1"/>
        <v>January-2026</v>
      </c>
      <c r="G793" s="1">
        <v>15.0</v>
      </c>
      <c r="H793" s="1">
        <v>26300.0</v>
      </c>
      <c r="I793" s="1">
        <v>5350.0</v>
      </c>
      <c r="J793" s="1">
        <v>4900.0</v>
      </c>
      <c r="K793" s="1">
        <v>16050.0</v>
      </c>
    </row>
    <row r="794">
      <c r="A794" s="1" t="s">
        <v>11</v>
      </c>
      <c r="B794" s="1" t="s">
        <v>804</v>
      </c>
      <c r="C794" s="1" t="s">
        <v>13</v>
      </c>
      <c r="D794" s="2">
        <v>46029.62175925926</v>
      </c>
      <c r="E794" s="3">
        <v>46029.0</v>
      </c>
      <c r="F794" s="3" t="str">
        <f t="shared" si="1"/>
        <v>January-2026</v>
      </c>
      <c r="G794" s="1">
        <v>14.0</v>
      </c>
      <c r="H794" s="1">
        <v>22900.0</v>
      </c>
      <c r="I794" s="1">
        <v>4500.0</v>
      </c>
      <c r="J794" s="1">
        <v>4900.0</v>
      </c>
      <c r="K794" s="1">
        <v>13500.0</v>
      </c>
    </row>
    <row r="795">
      <c r="A795" s="1" t="s">
        <v>11</v>
      </c>
      <c r="B795" s="1" t="s">
        <v>805</v>
      </c>
      <c r="C795" s="1" t="s">
        <v>13</v>
      </c>
      <c r="D795" s="2">
        <v>46029.62631944445</v>
      </c>
      <c r="E795" s="3">
        <v>46029.0</v>
      </c>
      <c r="F795" s="3" t="str">
        <f t="shared" si="1"/>
        <v>January-2026</v>
      </c>
      <c r="G795" s="1">
        <v>15.0</v>
      </c>
      <c r="H795" s="1">
        <v>74400.0</v>
      </c>
      <c r="I795" s="1">
        <v>14759.0</v>
      </c>
      <c r="J795" s="1">
        <v>19364.0</v>
      </c>
      <c r="K795" s="1">
        <v>40277.0</v>
      </c>
    </row>
    <row r="796">
      <c r="A796" s="1" t="s">
        <v>11</v>
      </c>
      <c r="B796" s="1" t="s">
        <v>806</v>
      </c>
      <c r="C796" s="1" t="s">
        <v>13</v>
      </c>
      <c r="D796" s="2">
        <v>46029.69547453704</v>
      </c>
      <c r="E796" s="3">
        <v>46029.0</v>
      </c>
      <c r="F796" s="3" t="str">
        <f t="shared" si="1"/>
        <v>January-2026</v>
      </c>
      <c r="G796" s="1">
        <v>16.0</v>
      </c>
      <c r="H796" s="1">
        <v>36300.0</v>
      </c>
      <c r="I796" s="1">
        <v>7074.0</v>
      </c>
      <c r="J796" s="1">
        <v>10005.0</v>
      </c>
      <c r="K796" s="1">
        <v>19221.0</v>
      </c>
    </row>
    <row r="797">
      <c r="A797" s="1" t="s">
        <v>11</v>
      </c>
      <c r="B797" s="1" t="s">
        <v>807</v>
      </c>
      <c r="C797" s="1" t="s">
        <v>13</v>
      </c>
      <c r="D797" s="2">
        <v>46029.75221064815</v>
      </c>
      <c r="E797" s="3">
        <v>46029.0</v>
      </c>
      <c r="F797" s="3" t="str">
        <f t="shared" si="1"/>
        <v>January-2026</v>
      </c>
      <c r="G797" s="1">
        <v>18.0</v>
      </c>
      <c r="H797" s="1">
        <v>79500.0</v>
      </c>
      <c r="I797" s="1">
        <v>15771.0</v>
      </c>
      <c r="J797" s="1">
        <v>20417.0</v>
      </c>
      <c r="K797" s="1">
        <v>43312.0</v>
      </c>
    </row>
    <row r="798">
      <c r="A798" s="1" t="s">
        <v>11</v>
      </c>
      <c r="B798" s="1" t="s">
        <v>808</v>
      </c>
      <c r="C798" s="1" t="s">
        <v>13</v>
      </c>
      <c r="D798" s="2">
        <v>46029.85613425926</v>
      </c>
      <c r="E798" s="3">
        <v>46029.0</v>
      </c>
      <c r="F798" s="3" t="str">
        <f t="shared" si="1"/>
        <v>January-2026</v>
      </c>
      <c r="G798" s="1">
        <v>20.0</v>
      </c>
      <c r="H798" s="1">
        <v>50400.0</v>
      </c>
      <c r="I798" s="1">
        <v>9998.0</v>
      </c>
      <c r="J798" s="1">
        <v>13808.0</v>
      </c>
      <c r="K798" s="1">
        <v>26594.0</v>
      </c>
    </row>
    <row r="799">
      <c r="A799" s="1" t="s">
        <v>11</v>
      </c>
      <c r="B799" s="1" t="s">
        <v>809</v>
      </c>
      <c r="C799" s="1" t="s">
        <v>13</v>
      </c>
      <c r="D799" s="2">
        <v>46029.88966435185</v>
      </c>
      <c r="E799" s="3">
        <v>46029.0</v>
      </c>
      <c r="F799" s="3" t="str">
        <f t="shared" si="1"/>
        <v>January-2026</v>
      </c>
      <c r="G799" s="1">
        <v>21.0</v>
      </c>
      <c r="H799" s="1">
        <v>32700.0</v>
      </c>
      <c r="I799" s="1">
        <v>6573.0</v>
      </c>
      <c r="J799" s="1">
        <v>8410.0</v>
      </c>
      <c r="K799" s="1">
        <v>17717.0</v>
      </c>
    </row>
    <row r="800">
      <c r="A800" s="1" t="s">
        <v>11</v>
      </c>
      <c r="B800" s="1" t="s">
        <v>810</v>
      </c>
      <c r="C800" s="1" t="s">
        <v>13</v>
      </c>
      <c r="D800" s="2">
        <v>46029.918217592596</v>
      </c>
      <c r="E800" s="3">
        <v>46029.0</v>
      </c>
      <c r="F800" s="3" t="str">
        <f t="shared" si="1"/>
        <v>January-2026</v>
      </c>
      <c r="G800" s="1">
        <v>22.0</v>
      </c>
      <c r="H800" s="1">
        <v>23400.0</v>
      </c>
      <c r="I800" s="1">
        <v>4704.0</v>
      </c>
      <c r="J800" s="1">
        <v>4587.0</v>
      </c>
      <c r="K800" s="1">
        <v>14109.0</v>
      </c>
    </row>
    <row r="801">
      <c r="A801" s="1" t="s">
        <v>11</v>
      </c>
      <c r="B801" s="1" t="s">
        <v>811</v>
      </c>
      <c r="C801" s="1" t="s">
        <v>13</v>
      </c>
      <c r="D801" s="2">
        <v>46030.46560185185</v>
      </c>
      <c r="E801" s="3">
        <v>46030.0</v>
      </c>
      <c r="F801" s="3" t="str">
        <f t="shared" si="1"/>
        <v>January-2026</v>
      </c>
      <c r="G801" s="1">
        <v>11.0</v>
      </c>
      <c r="H801" s="1">
        <v>22900.0</v>
      </c>
      <c r="I801" s="1">
        <v>4323.0</v>
      </c>
      <c r="J801" s="1">
        <v>5611.0</v>
      </c>
      <c r="K801" s="1">
        <v>12966.0</v>
      </c>
    </row>
    <row r="802">
      <c r="A802" s="1" t="s">
        <v>11</v>
      </c>
      <c r="B802" s="1" t="s">
        <v>812</v>
      </c>
      <c r="C802" s="1" t="s">
        <v>13</v>
      </c>
      <c r="D802" s="2">
        <v>46030.49730324074</v>
      </c>
      <c r="E802" s="3">
        <v>46030.0</v>
      </c>
      <c r="F802" s="3" t="str">
        <f t="shared" si="1"/>
        <v>January-2026</v>
      </c>
      <c r="G802" s="1">
        <v>11.0</v>
      </c>
      <c r="H802" s="1">
        <v>17900.0</v>
      </c>
      <c r="I802" s="1">
        <v>3379.0</v>
      </c>
      <c r="J802" s="1">
        <v>4386.0</v>
      </c>
      <c r="K802" s="1">
        <v>10135.0</v>
      </c>
    </row>
    <row r="803">
      <c r="A803" s="1" t="s">
        <v>11</v>
      </c>
      <c r="B803" s="1" t="s">
        <v>813</v>
      </c>
      <c r="C803" s="1" t="s">
        <v>13</v>
      </c>
      <c r="D803" s="2">
        <v>46030.56711805556</v>
      </c>
      <c r="E803" s="3">
        <v>46030.0</v>
      </c>
      <c r="F803" s="3" t="str">
        <f t="shared" si="1"/>
        <v>January-2026</v>
      </c>
      <c r="G803" s="1">
        <v>13.0</v>
      </c>
      <c r="H803" s="1">
        <v>22900.0</v>
      </c>
      <c r="I803" s="1">
        <v>4500.0</v>
      </c>
      <c r="J803" s="1">
        <v>4900.0</v>
      </c>
      <c r="K803" s="1">
        <v>13500.0</v>
      </c>
    </row>
    <row r="804">
      <c r="A804" s="1" t="s">
        <v>11</v>
      </c>
      <c r="B804" s="1" t="s">
        <v>814</v>
      </c>
      <c r="C804" s="1" t="s">
        <v>13</v>
      </c>
      <c r="D804" s="2">
        <v>46030.5965162037</v>
      </c>
      <c r="E804" s="3">
        <v>46030.0</v>
      </c>
      <c r="F804" s="3" t="str">
        <f t="shared" si="1"/>
        <v>January-2026</v>
      </c>
      <c r="G804" s="1">
        <v>14.0</v>
      </c>
      <c r="H804" s="1">
        <v>36900.0</v>
      </c>
      <c r="I804" s="1">
        <v>8000.0</v>
      </c>
      <c r="J804" s="1">
        <v>4900.0</v>
      </c>
      <c r="K804" s="1">
        <v>24000.0</v>
      </c>
    </row>
    <row r="805">
      <c r="A805" s="1" t="s">
        <v>11</v>
      </c>
      <c r="B805" s="1" t="s">
        <v>815</v>
      </c>
      <c r="C805" s="1" t="s">
        <v>13</v>
      </c>
      <c r="D805" s="2">
        <v>46030.69125</v>
      </c>
      <c r="E805" s="3">
        <v>46030.0</v>
      </c>
      <c r="F805" s="3" t="str">
        <f t="shared" si="1"/>
        <v>January-2026</v>
      </c>
      <c r="G805" s="1">
        <v>16.0</v>
      </c>
      <c r="H805" s="1">
        <v>22900.0</v>
      </c>
      <c r="I805" s="1">
        <v>4500.0</v>
      </c>
      <c r="J805" s="1">
        <v>4900.0</v>
      </c>
      <c r="K805" s="1">
        <v>13500.0</v>
      </c>
    </row>
    <row r="806">
      <c r="A806" s="1" t="s">
        <v>11</v>
      </c>
      <c r="B806" s="1" t="s">
        <v>816</v>
      </c>
      <c r="C806" s="1" t="s">
        <v>13</v>
      </c>
      <c r="D806" s="2">
        <v>46030.815104166664</v>
      </c>
      <c r="E806" s="3">
        <v>46030.0</v>
      </c>
      <c r="F806" s="3" t="str">
        <f t="shared" si="1"/>
        <v>January-2026</v>
      </c>
      <c r="G806" s="1">
        <v>19.0</v>
      </c>
      <c r="H806" s="1">
        <v>45800.0</v>
      </c>
      <c r="I806" s="1">
        <v>9613.0</v>
      </c>
      <c r="J806" s="1">
        <v>10350.0</v>
      </c>
      <c r="K806" s="1">
        <v>25837.0</v>
      </c>
    </row>
    <row r="807">
      <c r="A807" s="1" t="s">
        <v>11</v>
      </c>
      <c r="B807" s="1" t="s">
        <v>817</v>
      </c>
      <c r="C807" s="1" t="s">
        <v>13</v>
      </c>
      <c r="D807" s="2">
        <v>46030.93771990741</v>
      </c>
      <c r="E807" s="3">
        <v>46030.0</v>
      </c>
      <c r="F807" s="3" t="str">
        <f t="shared" si="1"/>
        <v>January-2026</v>
      </c>
      <c r="G807" s="1">
        <v>22.0</v>
      </c>
      <c r="H807" s="1">
        <v>32700.0</v>
      </c>
      <c r="I807" s="1">
        <v>6573.0</v>
      </c>
      <c r="J807" s="1">
        <v>8410.0</v>
      </c>
      <c r="K807" s="1">
        <v>17717.0</v>
      </c>
    </row>
    <row r="808">
      <c r="A808" s="1" t="s">
        <v>11</v>
      </c>
      <c r="B808" s="1" t="s">
        <v>818</v>
      </c>
      <c r="C808" s="1" t="s">
        <v>13</v>
      </c>
      <c r="D808" s="2">
        <v>46031.66956018518</v>
      </c>
      <c r="E808" s="3">
        <v>46031.0</v>
      </c>
      <c r="F808" s="3" t="str">
        <f t="shared" si="1"/>
        <v>January-2026</v>
      </c>
      <c r="G808" s="1">
        <v>16.0</v>
      </c>
      <c r="H808" s="1">
        <v>22500.0</v>
      </c>
      <c r="I808" s="1">
        <v>4400.0</v>
      </c>
      <c r="J808" s="1">
        <v>4900.0</v>
      </c>
      <c r="K808" s="1">
        <v>13200.0</v>
      </c>
    </row>
    <row r="809">
      <c r="A809" s="1" t="s">
        <v>11</v>
      </c>
      <c r="B809" s="1" t="s">
        <v>819</v>
      </c>
      <c r="C809" s="1" t="s">
        <v>13</v>
      </c>
      <c r="D809" s="2">
        <v>46031.73038194444</v>
      </c>
      <c r="E809" s="3">
        <v>46031.0</v>
      </c>
      <c r="F809" s="3" t="str">
        <f t="shared" si="1"/>
        <v>January-2026</v>
      </c>
      <c r="G809" s="1">
        <v>17.0</v>
      </c>
      <c r="H809" s="1">
        <v>17900.0</v>
      </c>
      <c r="I809" s="1">
        <v>4475.0</v>
      </c>
      <c r="J809" s="1">
        <v>0.0</v>
      </c>
      <c r="K809" s="1">
        <v>13425.0</v>
      </c>
    </row>
    <row r="810">
      <c r="A810" s="1" t="s">
        <v>11</v>
      </c>
      <c r="B810" s="1" t="s">
        <v>820</v>
      </c>
      <c r="C810" s="1" t="s">
        <v>13</v>
      </c>
      <c r="D810" s="2">
        <v>46031.75201388889</v>
      </c>
      <c r="E810" s="3">
        <v>46031.0</v>
      </c>
      <c r="F810" s="3" t="str">
        <f t="shared" si="1"/>
        <v>January-2026</v>
      </c>
      <c r="G810" s="1">
        <v>18.0</v>
      </c>
      <c r="H810" s="1">
        <v>45800.0</v>
      </c>
      <c r="I810" s="1">
        <v>9123.0</v>
      </c>
      <c r="J810" s="1">
        <v>12310.0</v>
      </c>
      <c r="K810" s="1">
        <v>24367.0</v>
      </c>
    </row>
    <row r="811">
      <c r="A811" s="1" t="s">
        <v>11</v>
      </c>
      <c r="B811" s="1" t="s">
        <v>821</v>
      </c>
      <c r="C811" s="1" t="s">
        <v>13</v>
      </c>
      <c r="D811" s="2">
        <v>46031.76175925926</v>
      </c>
      <c r="E811" s="3">
        <v>46031.0</v>
      </c>
      <c r="F811" s="3" t="str">
        <f t="shared" si="1"/>
        <v>January-2026</v>
      </c>
      <c r="G811" s="1">
        <v>18.0</v>
      </c>
      <c r="H811" s="1">
        <v>45800.0</v>
      </c>
      <c r="I811" s="1">
        <v>9613.0</v>
      </c>
      <c r="J811" s="1">
        <v>10350.0</v>
      </c>
      <c r="K811" s="1">
        <v>25837.0</v>
      </c>
    </row>
    <row r="812">
      <c r="A812" s="1" t="s">
        <v>11</v>
      </c>
      <c r="B812" s="1" t="s">
        <v>822</v>
      </c>
      <c r="C812" s="1" t="s">
        <v>13</v>
      </c>
      <c r="D812" s="2">
        <v>46031.79777777778</v>
      </c>
      <c r="E812" s="3">
        <v>46031.0</v>
      </c>
      <c r="F812" s="3" t="str">
        <f t="shared" si="1"/>
        <v>January-2026</v>
      </c>
      <c r="G812" s="1">
        <v>19.0</v>
      </c>
      <c r="H812" s="1">
        <v>34300.0</v>
      </c>
      <c r="I812" s="1">
        <v>6895.0</v>
      </c>
      <c r="J812" s="1">
        <v>8723.0</v>
      </c>
      <c r="K812" s="1">
        <v>18682.0</v>
      </c>
    </row>
    <row r="813">
      <c r="A813" s="1" t="s">
        <v>11</v>
      </c>
      <c r="B813" s="1" t="s">
        <v>823</v>
      </c>
      <c r="C813" s="1" t="s">
        <v>13</v>
      </c>
      <c r="D813" s="2">
        <v>46031.80616898148</v>
      </c>
      <c r="E813" s="3">
        <v>46031.0</v>
      </c>
      <c r="F813" s="3" t="str">
        <f t="shared" si="1"/>
        <v>January-2026</v>
      </c>
      <c r="G813" s="1">
        <v>19.0</v>
      </c>
      <c r="H813" s="1">
        <v>22500.0</v>
      </c>
      <c r="I813" s="1">
        <v>4400.0</v>
      </c>
      <c r="J813" s="1">
        <v>4900.0</v>
      </c>
      <c r="K813" s="1">
        <v>13200.0</v>
      </c>
    </row>
    <row r="814">
      <c r="A814" s="1" t="s">
        <v>11</v>
      </c>
      <c r="B814" s="1" t="s">
        <v>824</v>
      </c>
      <c r="C814" s="1" t="s">
        <v>13</v>
      </c>
      <c r="D814" s="2">
        <v>46031.83935185185</v>
      </c>
      <c r="E814" s="3">
        <v>46031.0</v>
      </c>
      <c r="F814" s="3" t="str">
        <f t="shared" si="1"/>
        <v>January-2026</v>
      </c>
      <c r="G814" s="1">
        <v>20.0</v>
      </c>
      <c r="H814" s="1">
        <v>32700.0</v>
      </c>
      <c r="I814" s="1">
        <v>6573.0</v>
      </c>
      <c r="J814" s="1">
        <v>8410.0</v>
      </c>
      <c r="K814" s="1">
        <v>17717.0</v>
      </c>
    </row>
    <row r="815">
      <c r="A815" s="1" t="s">
        <v>11</v>
      </c>
      <c r="B815" s="1" t="s">
        <v>825</v>
      </c>
      <c r="C815" s="1" t="s">
        <v>13</v>
      </c>
      <c r="D815" s="2">
        <v>46031.86670138889</v>
      </c>
      <c r="E815" s="3">
        <v>46031.0</v>
      </c>
      <c r="F815" s="3" t="str">
        <f t="shared" si="1"/>
        <v>January-2026</v>
      </c>
      <c r="G815" s="1">
        <v>20.0</v>
      </c>
      <c r="H815" s="1">
        <v>29400.0</v>
      </c>
      <c r="I815" s="1">
        <v>5550.0</v>
      </c>
      <c r="J815" s="1">
        <v>7203.0</v>
      </c>
      <c r="K815" s="1">
        <v>16647.0</v>
      </c>
    </row>
    <row r="816">
      <c r="A816" s="1" t="s">
        <v>11</v>
      </c>
      <c r="B816" s="1" t="s">
        <v>826</v>
      </c>
      <c r="C816" s="1" t="s">
        <v>13</v>
      </c>
      <c r="D816" s="2">
        <v>46031.884930555556</v>
      </c>
      <c r="E816" s="3">
        <v>46031.0</v>
      </c>
      <c r="F816" s="3" t="str">
        <f t="shared" si="1"/>
        <v>January-2026</v>
      </c>
      <c r="G816" s="1">
        <v>21.0</v>
      </c>
      <c r="H816" s="1">
        <v>50900.0</v>
      </c>
      <c r="I816" s="1">
        <v>10098.0</v>
      </c>
      <c r="J816" s="1">
        <v>14511.0</v>
      </c>
      <c r="K816" s="1">
        <v>26291.0</v>
      </c>
    </row>
    <row r="817">
      <c r="A817" s="1" t="s">
        <v>11</v>
      </c>
      <c r="B817" s="1" t="s">
        <v>827</v>
      </c>
      <c r="C817" s="1" t="s">
        <v>13</v>
      </c>
      <c r="D817" s="2">
        <v>46031.88664351852</v>
      </c>
      <c r="E817" s="3">
        <v>46031.0</v>
      </c>
      <c r="F817" s="3" t="str">
        <f t="shared" si="1"/>
        <v>January-2026</v>
      </c>
      <c r="G817" s="1">
        <v>21.0</v>
      </c>
      <c r="H817" s="1">
        <v>24800.0</v>
      </c>
      <c r="I817" s="1">
        <v>4975.0</v>
      </c>
      <c r="J817" s="1">
        <v>4900.0</v>
      </c>
      <c r="K817" s="1">
        <v>14925.0</v>
      </c>
    </row>
    <row r="818">
      <c r="A818" s="1" t="s">
        <v>11</v>
      </c>
      <c r="B818" s="1" t="s">
        <v>828</v>
      </c>
      <c r="C818" s="1" t="s">
        <v>13</v>
      </c>
      <c r="D818" s="2">
        <v>46032.460856481484</v>
      </c>
      <c r="E818" s="3">
        <v>46032.0</v>
      </c>
      <c r="F818" s="3" t="str">
        <f t="shared" si="1"/>
        <v>January-2026</v>
      </c>
      <c r="G818" s="1">
        <v>11.0</v>
      </c>
      <c r="H818" s="1">
        <v>32700.0</v>
      </c>
      <c r="I818" s="1">
        <v>6705.0</v>
      </c>
      <c r="J818" s="1">
        <v>7880.0</v>
      </c>
      <c r="K818" s="1">
        <v>18115.0</v>
      </c>
    </row>
    <row r="819">
      <c r="A819" s="1" t="s">
        <v>11</v>
      </c>
      <c r="B819" s="1" t="s">
        <v>829</v>
      </c>
      <c r="C819" s="1" t="s">
        <v>13</v>
      </c>
      <c r="D819" s="2">
        <v>46032.53288194445</v>
      </c>
      <c r="E819" s="3">
        <v>46032.0</v>
      </c>
      <c r="F819" s="3" t="str">
        <f t="shared" si="1"/>
        <v>January-2026</v>
      </c>
      <c r="G819" s="1">
        <v>12.0</v>
      </c>
      <c r="H819" s="1">
        <v>22900.0</v>
      </c>
      <c r="I819" s="1">
        <v>4500.0</v>
      </c>
      <c r="J819" s="1">
        <v>4900.0</v>
      </c>
      <c r="K819" s="1">
        <v>13500.0</v>
      </c>
    </row>
    <row r="820">
      <c r="A820" s="1" t="s">
        <v>11</v>
      </c>
      <c r="B820" s="1" t="s">
        <v>830</v>
      </c>
      <c r="C820" s="1" t="s">
        <v>13</v>
      </c>
      <c r="D820" s="2">
        <v>46032.53736111111</v>
      </c>
      <c r="E820" s="3">
        <v>46032.0</v>
      </c>
      <c r="F820" s="3" t="str">
        <f t="shared" si="1"/>
        <v>January-2026</v>
      </c>
      <c r="G820" s="1">
        <v>12.0</v>
      </c>
      <c r="H820" s="1">
        <v>22900.0</v>
      </c>
      <c r="I820" s="1">
        <v>4500.0</v>
      </c>
      <c r="J820" s="1">
        <v>4900.0</v>
      </c>
      <c r="K820" s="1">
        <v>13500.0</v>
      </c>
    </row>
    <row r="821">
      <c r="A821" s="1" t="s">
        <v>11</v>
      </c>
      <c r="B821" s="1" t="s">
        <v>831</v>
      </c>
      <c r="C821" s="1" t="s">
        <v>13</v>
      </c>
      <c r="D821" s="2">
        <v>46032.56505787037</v>
      </c>
      <c r="E821" s="3">
        <v>46032.0</v>
      </c>
      <c r="F821" s="3" t="str">
        <f t="shared" si="1"/>
        <v>January-2026</v>
      </c>
      <c r="G821" s="1">
        <v>13.0</v>
      </c>
      <c r="H821" s="1">
        <v>39200.0</v>
      </c>
      <c r="I821" s="1">
        <v>7963.0</v>
      </c>
      <c r="J821" s="1">
        <v>9350.0</v>
      </c>
      <c r="K821" s="1">
        <v>21887.0</v>
      </c>
    </row>
    <row r="822">
      <c r="A822" s="1" t="s">
        <v>11</v>
      </c>
      <c r="B822" s="1" t="s">
        <v>832</v>
      </c>
      <c r="C822" s="1" t="s">
        <v>13</v>
      </c>
      <c r="D822" s="2">
        <v>46032.73175925926</v>
      </c>
      <c r="E822" s="3">
        <v>46032.0</v>
      </c>
      <c r="F822" s="3" t="str">
        <f t="shared" si="1"/>
        <v>January-2026</v>
      </c>
      <c r="G822" s="1">
        <v>17.0</v>
      </c>
      <c r="H822" s="1">
        <v>20400.0</v>
      </c>
      <c r="I822" s="1">
        <v>3875.0</v>
      </c>
      <c r="J822" s="1">
        <v>4900.0</v>
      </c>
      <c r="K822" s="1">
        <v>11625.0</v>
      </c>
    </row>
    <row r="823">
      <c r="A823" s="1" t="s">
        <v>11</v>
      </c>
      <c r="B823" s="1" t="s">
        <v>833</v>
      </c>
      <c r="C823" s="1" t="s">
        <v>13</v>
      </c>
      <c r="D823" s="2">
        <v>46032.749386574076</v>
      </c>
      <c r="E823" s="3">
        <v>46032.0</v>
      </c>
      <c r="F823" s="3" t="str">
        <f t="shared" si="1"/>
        <v>January-2026</v>
      </c>
      <c r="G823" s="1">
        <v>17.0</v>
      </c>
      <c r="H823" s="1">
        <v>46300.0</v>
      </c>
      <c r="I823" s="1">
        <v>9738.0</v>
      </c>
      <c r="J823" s="1">
        <v>10350.0</v>
      </c>
      <c r="K823" s="1">
        <v>26212.0</v>
      </c>
    </row>
    <row r="824">
      <c r="A824" s="1" t="s">
        <v>11</v>
      </c>
      <c r="B824" s="1" t="s">
        <v>834</v>
      </c>
      <c r="C824" s="1" t="s">
        <v>13</v>
      </c>
      <c r="D824" s="2">
        <v>46032.77443287037</v>
      </c>
      <c r="E824" s="3">
        <v>46032.0</v>
      </c>
      <c r="F824" s="3" t="str">
        <f t="shared" si="1"/>
        <v>January-2026</v>
      </c>
      <c r="G824" s="1">
        <v>18.0</v>
      </c>
      <c r="H824" s="1">
        <v>22900.0</v>
      </c>
      <c r="I824" s="1">
        <v>4500.0</v>
      </c>
      <c r="J824" s="1">
        <v>4900.0</v>
      </c>
      <c r="K824" s="1">
        <v>13500.0</v>
      </c>
    </row>
    <row r="825">
      <c r="A825" s="1" t="s">
        <v>11</v>
      </c>
      <c r="B825" s="1" t="s">
        <v>835</v>
      </c>
      <c r="C825" s="1" t="s">
        <v>13</v>
      </c>
      <c r="D825" s="2">
        <v>46032.78162037037</v>
      </c>
      <c r="E825" s="3">
        <v>46032.0</v>
      </c>
      <c r="F825" s="3" t="str">
        <f t="shared" si="1"/>
        <v>January-2026</v>
      </c>
      <c r="G825" s="1">
        <v>18.0</v>
      </c>
      <c r="H825" s="1">
        <v>34300.0</v>
      </c>
      <c r="I825" s="1">
        <v>6895.0</v>
      </c>
      <c r="J825" s="1">
        <v>8723.0</v>
      </c>
      <c r="K825" s="1">
        <v>18682.0</v>
      </c>
    </row>
    <row r="826">
      <c r="A826" s="1" t="s">
        <v>11</v>
      </c>
      <c r="B826" s="1" t="s">
        <v>836</v>
      </c>
      <c r="C826" s="1" t="s">
        <v>13</v>
      </c>
      <c r="D826" s="2">
        <v>46032.796319444446</v>
      </c>
      <c r="E826" s="3">
        <v>46032.0</v>
      </c>
      <c r="F826" s="3" t="str">
        <f t="shared" si="1"/>
        <v>January-2026</v>
      </c>
      <c r="G826" s="1">
        <v>19.0</v>
      </c>
      <c r="H826" s="1">
        <v>45400.0</v>
      </c>
      <c r="I826" s="1">
        <v>9513.0</v>
      </c>
      <c r="J826" s="1">
        <v>10350.0</v>
      </c>
      <c r="K826" s="1">
        <v>25537.0</v>
      </c>
    </row>
    <row r="827">
      <c r="A827" s="1" t="s">
        <v>11</v>
      </c>
      <c r="B827" s="1" t="s">
        <v>837</v>
      </c>
      <c r="C827" s="1" t="s">
        <v>13</v>
      </c>
      <c r="D827" s="2">
        <v>46032.80043981481</v>
      </c>
      <c r="E827" s="3">
        <v>46032.0</v>
      </c>
      <c r="F827" s="3" t="str">
        <f t="shared" si="1"/>
        <v>January-2026</v>
      </c>
      <c r="G827" s="1">
        <v>19.0</v>
      </c>
      <c r="H827" s="1">
        <v>110300.0</v>
      </c>
      <c r="I827" s="1">
        <v>21068.0</v>
      </c>
      <c r="J827" s="1">
        <v>34031.0</v>
      </c>
      <c r="K827" s="1">
        <v>55201.0</v>
      </c>
    </row>
    <row r="828">
      <c r="A828" s="1" t="s">
        <v>11</v>
      </c>
      <c r="B828" s="1" t="s">
        <v>838</v>
      </c>
      <c r="C828" s="1" t="s">
        <v>13</v>
      </c>
      <c r="D828" s="2">
        <v>46032.802719907406</v>
      </c>
      <c r="E828" s="3">
        <v>46032.0</v>
      </c>
      <c r="F828" s="3" t="str">
        <f t="shared" si="1"/>
        <v>January-2026</v>
      </c>
      <c r="G828" s="1">
        <v>19.0</v>
      </c>
      <c r="H828" s="1">
        <v>35800.0</v>
      </c>
      <c r="I828" s="1">
        <v>7196.0</v>
      </c>
      <c r="J828" s="1">
        <v>9017.0</v>
      </c>
      <c r="K828" s="1">
        <v>19587.0</v>
      </c>
    </row>
    <row r="829">
      <c r="A829" s="1" t="s">
        <v>11</v>
      </c>
      <c r="B829" s="1" t="s">
        <v>839</v>
      </c>
      <c r="C829" s="1" t="s">
        <v>13</v>
      </c>
      <c r="D829" s="2">
        <v>46032.901504629626</v>
      </c>
      <c r="E829" s="3">
        <v>46032.0</v>
      </c>
      <c r="F829" s="3" t="str">
        <f t="shared" si="1"/>
        <v>January-2026</v>
      </c>
      <c r="G829" s="1">
        <v>21.0</v>
      </c>
      <c r="H829" s="1">
        <v>22900.0</v>
      </c>
      <c r="I829" s="1">
        <v>5725.0</v>
      </c>
      <c r="J829" s="1">
        <v>0.0</v>
      </c>
      <c r="K829" s="1">
        <v>17175.0</v>
      </c>
    </row>
    <row r="830">
      <c r="A830" s="1" t="s">
        <v>11</v>
      </c>
      <c r="B830" s="1" t="s">
        <v>840</v>
      </c>
      <c r="C830" s="1" t="s">
        <v>13</v>
      </c>
      <c r="D830" s="2">
        <v>46033.506840277776</v>
      </c>
      <c r="E830" s="3">
        <v>46033.0</v>
      </c>
      <c r="F830" s="3" t="str">
        <f t="shared" si="1"/>
        <v>January-2026</v>
      </c>
      <c r="G830" s="1">
        <v>12.0</v>
      </c>
      <c r="H830" s="1">
        <v>32700.0</v>
      </c>
      <c r="I830" s="1">
        <v>5848.0</v>
      </c>
      <c r="J830" s="1">
        <v>11310.0</v>
      </c>
      <c r="K830" s="1">
        <v>15542.0</v>
      </c>
    </row>
    <row r="831">
      <c r="A831" s="1" t="s">
        <v>11</v>
      </c>
      <c r="B831" s="1" t="s">
        <v>841</v>
      </c>
      <c r="C831" s="1" t="s">
        <v>13</v>
      </c>
      <c r="D831" s="2">
        <v>46033.54399305556</v>
      </c>
      <c r="E831" s="3">
        <v>46033.0</v>
      </c>
      <c r="F831" s="3" t="str">
        <f t="shared" si="1"/>
        <v>January-2026</v>
      </c>
      <c r="G831" s="1">
        <v>13.0</v>
      </c>
      <c r="H831" s="1">
        <v>38400.0</v>
      </c>
      <c r="I831" s="1">
        <v>7273.0</v>
      </c>
      <c r="J831" s="1">
        <v>9310.0</v>
      </c>
      <c r="K831" s="1">
        <v>21817.0</v>
      </c>
    </row>
    <row r="832">
      <c r="A832" s="1" t="s">
        <v>11</v>
      </c>
      <c r="B832" s="1" t="s">
        <v>842</v>
      </c>
      <c r="C832" s="1" t="s">
        <v>13</v>
      </c>
      <c r="D832" s="2">
        <v>46033.564571759256</v>
      </c>
      <c r="E832" s="3">
        <v>46033.0</v>
      </c>
      <c r="F832" s="3" t="str">
        <f t="shared" si="1"/>
        <v>January-2026</v>
      </c>
      <c r="G832" s="1">
        <v>13.0</v>
      </c>
      <c r="H832" s="1">
        <v>22900.0</v>
      </c>
      <c r="I832" s="1">
        <v>4500.0</v>
      </c>
      <c r="J832" s="1">
        <v>4900.0</v>
      </c>
      <c r="K832" s="1">
        <v>13500.0</v>
      </c>
    </row>
    <row r="833">
      <c r="A833" s="1" t="s">
        <v>11</v>
      </c>
      <c r="B833" s="1" t="s">
        <v>843</v>
      </c>
      <c r="C833" s="1" t="s">
        <v>13</v>
      </c>
      <c r="D833" s="2">
        <v>46033.61913194445</v>
      </c>
      <c r="E833" s="3">
        <v>46033.0</v>
      </c>
      <c r="F833" s="3" t="str">
        <f t="shared" si="1"/>
        <v>January-2026</v>
      </c>
      <c r="G833" s="1">
        <v>14.0</v>
      </c>
      <c r="H833" s="1">
        <v>23400.0</v>
      </c>
      <c r="I833" s="1">
        <v>4625.0</v>
      </c>
      <c r="J833" s="1">
        <v>4900.0</v>
      </c>
      <c r="K833" s="1">
        <v>13875.0</v>
      </c>
    </row>
    <row r="834">
      <c r="A834" s="1" t="s">
        <v>11</v>
      </c>
      <c r="B834" s="1" t="s">
        <v>844</v>
      </c>
      <c r="C834" s="1" t="s">
        <v>13</v>
      </c>
      <c r="D834" s="2">
        <v>46033.76173611111</v>
      </c>
      <c r="E834" s="3">
        <v>46033.0</v>
      </c>
      <c r="F834" s="3" t="str">
        <f t="shared" si="1"/>
        <v>January-2026</v>
      </c>
      <c r="G834" s="1">
        <v>18.0</v>
      </c>
      <c r="H834" s="1">
        <v>33000.0</v>
      </c>
      <c r="I834" s="1">
        <v>6633.0</v>
      </c>
      <c r="J834" s="1">
        <v>8468.0</v>
      </c>
      <c r="K834" s="1">
        <v>17899.0</v>
      </c>
    </row>
    <row r="835">
      <c r="A835" s="1" t="s">
        <v>11</v>
      </c>
      <c r="B835" s="1" t="s">
        <v>845</v>
      </c>
      <c r="C835" s="1" t="s">
        <v>13</v>
      </c>
      <c r="D835" s="2">
        <v>46033.77055555556</v>
      </c>
      <c r="E835" s="3">
        <v>46033.0</v>
      </c>
      <c r="F835" s="3" t="str">
        <f t="shared" si="1"/>
        <v>January-2026</v>
      </c>
      <c r="G835" s="1">
        <v>18.0</v>
      </c>
      <c r="H835" s="1">
        <v>30000.0</v>
      </c>
      <c r="I835" s="1">
        <v>6030.0</v>
      </c>
      <c r="J835" s="1">
        <v>7880.0</v>
      </c>
      <c r="K835" s="1">
        <v>16090.0</v>
      </c>
    </row>
    <row r="836">
      <c r="A836" s="1" t="s">
        <v>11</v>
      </c>
      <c r="B836" s="1" t="s">
        <v>846</v>
      </c>
      <c r="C836" s="1" t="s">
        <v>13</v>
      </c>
      <c r="D836" s="2">
        <v>46033.83966435185</v>
      </c>
      <c r="E836" s="3">
        <v>46033.0</v>
      </c>
      <c r="F836" s="3" t="str">
        <f t="shared" si="1"/>
        <v>January-2026</v>
      </c>
      <c r="G836" s="1">
        <v>20.0</v>
      </c>
      <c r="H836" s="1">
        <v>27500.0</v>
      </c>
      <c r="I836" s="1">
        <v>5650.0</v>
      </c>
      <c r="J836" s="1">
        <v>4900.0</v>
      </c>
      <c r="K836" s="1">
        <v>16950.0</v>
      </c>
    </row>
    <row r="837">
      <c r="A837" s="1" t="s">
        <v>11</v>
      </c>
      <c r="B837" s="1" t="s">
        <v>847</v>
      </c>
      <c r="C837" s="1" t="s">
        <v>13</v>
      </c>
      <c r="D837" s="2">
        <v>46033.90394675926</v>
      </c>
      <c r="E837" s="3">
        <v>46033.0</v>
      </c>
      <c r="F837" s="3" t="str">
        <f t="shared" si="1"/>
        <v>January-2026</v>
      </c>
      <c r="G837" s="1">
        <v>21.0</v>
      </c>
      <c r="H837" s="1">
        <v>32700.0</v>
      </c>
      <c r="I837" s="1">
        <v>6573.0</v>
      </c>
      <c r="J837" s="1">
        <v>8410.0</v>
      </c>
      <c r="K837" s="1">
        <v>17717.0</v>
      </c>
    </row>
    <row r="838">
      <c r="A838" s="1" t="s">
        <v>11</v>
      </c>
      <c r="B838" s="1" t="s">
        <v>848</v>
      </c>
      <c r="C838" s="1" t="s">
        <v>13</v>
      </c>
      <c r="D838" s="2">
        <v>46033.91520833333</v>
      </c>
      <c r="E838" s="3">
        <v>46033.0</v>
      </c>
      <c r="F838" s="3" t="str">
        <f t="shared" si="1"/>
        <v>January-2026</v>
      </c>
      <c r="G838" s="1">
        <v>21.0</v>
      </c>
      <c r="H838" s="1">
        <v>27500.0</v>
      </c>
      <c r="I838" s="1">
        <v>5650.0</v>
      </c>
      <c r="J838" s="1">
        <v>4900.0</v>
      </c>
      <c r="K838" s="1">
        <v>16950.0</v>
      </c>
    </row>
    <row r="839">
      <c r="A839" s="1" t="s">
        <v>11</v>
      </c>
      <c r="B839" s="1" t="s">
        <v>849</v>
      </c>
      <c r="C839" s="1" t="s">
        <v>13</v>
      </c>
      <c r="D839" s="2">
        <v>46033.9168287037</v>
      </c>
      <c r="E839" s="3">
        <v>46033.0</v>
      </c>
      <c r="F839" s="3" t="str">
        <f t="shared" si="1"/>
        <v>January-2026</v>
      </c>
      <c r="G839" s="1">
        <v>22.0</v>
      </c>
      <c r="H839" s="1">
        <v>60600.0</v>
      </c>
      <c r="I839" s="1">
        <v>12022.0</v>
      </c>
      <c r="J839" s="1">
        <v>16514.0</v>
      </c>
      <c r="K839" s="1">
        <v>32064.0</v>
      </c>
    </row>
    <row r="840">
      <c r="A840" s="1" t="s">
        <v>11</v>
      </c>
      <c r="B840" s="1" t="s">
        <v>850</v>
      </c>
      <c r="C840" s="1" t="s">
        <v>13</v>
      </c>
      <c r="D840" s="2">
        <v>46033.91871527778</v>
      </c>
      <c r="E840" s="3">
        <v>46033.0</v>
      </c>
      <c r="F840" s="3" t="str">
        <f t="shared" si="1"/>
        <v>January-2026</v>
      </c>
      <c r="G840" s="1">
        <v>22.0</v>
      </c>
      <c r="H840" s="1">
        <v>20800.0</v>
      </c>
      <c r="I840" s="1">
        <v>3975.0</v>
      </c>
      <c r="J840" s="1">
        <v>4900.0</v>
      </c>
      <c r="K840" s="1">
        <v>11925.0</v>
      </c>
    </row>
    <row r="841">
      <c r="A841" s="1" t="s">
        <v>11</v>
      </c>
      <c r="B841" s="1" t="s">
        <v>851</v>
      </c>
      <c r="C841" s="1" t="s">
        <v>13</v>
      </c>
      <c r="D841" s="2">
        <v>46033.93625</v>
      </c>
      <c r="E841" s="3">
        <v>46033.0</v>
      </c>
      <c r="F841" s="3" t="str">
        <f t="shared" si="1"/>
        <v>January-2026</v>
      </c>
      <c r="G841" s="1">
        <v>22.0</v>
      </c>
      <c r="H841" s="1">
        <v>56700.0</v>
      </c>
      <c r="I841" s="1">
        <v>11248.0</v>
      </c>
      <c r="J841" s="1">
        <v>15709.0</v>
      </c>
      <c r="K841" s="1">
        <v>29743.0</v>
      </c>
    </row>
    <row r="842">
      <c r="A842" s="1" t="s">
        <v>11</v>
      </c>
      <c r="B842" s="1" t="s">
        <v>852</v>
      </c>
      <c r="C842" s="1" t="s">
        <v>13</v>
      </c>
      <c r="D842" s="2">
        <v>46033.939375</v>
      </c>
      <c r="E842" s="3">
        <v>46033.0</v>
      </c>
      <c r="F842" s="3" t="str">
        <f t="shared" si="1"/>
        <v>January-2026</v>
      </c>
      <c r="G842" s="1">
        <v>22.0</v>
      </c>
      <c r="H842" s="1">
        <v>50900.0</v>
      </c>
      <c r="I842" s="1">
        <v>10098.0</v>
      </c>
      <c r="J842" s="1">
        <v>14511.0</v>
      </c>
      <c r="K842" s="1">
        <v>26291.0</v>
      </c>
    </row>
    <row r="843">
      <c r="A843" s="1" t="s">
        <v>11</v>
      </c>
      <c r="B843" s="1" t="s">
        <v>853</v>
      </c>
      <c r="C843" s="1" t="s">
        <v>13</v>
      </c>
      <c r="D843" s="2">
        <v>46033.95439814815</v>
      </c>
      <c r="E843" s="3">
        <v>46033.0</v>
      </c>
      <c r="F843" s="3" t="str">
        <f t="shared" si="1"/>
        <v>January-2026</v>
      </c>
      <c r="G843" s="1">
        <v>22.0</v>
      </c>
      <c r="H843" s="1">
        <v>36400.0</v>
      </c>
      <c r="I843" s="1">
        <v>7227.0</v>
      </c>
      <c r="J843" s="1">
        <v>9492.0</v>
      </c>
      <c r="K843" s="1">
        <v>19681.0</v>
      </c>
    </row>
    <row r="844">
      <c r="A844" s="1" t="s">
        <v>11</v>
      </c>
      <c r="B844" s="1" t="s">
        <v>854</v>
      </c>
      <c r="C844" s="1" t="s">
        <v>13</v>
      </c>
      <c r="D844" s="2">
        <v>46034.50270833333</v>
      </c>
      <c r="E844" s="3">
        <v>46034.0</v>
      </c>
      <c r="F844" s="3" t="str">
        <f t="shared" si="1"/>
        <v>January-2026</v>
      </c>
      <c r="G844" s="1">
        <v>12.0</v>
      </c>
      <c r="H844" s="1">
        <v>50400.0</v>
      </c>
      <c r="I844" s="1">
        <v>9998.0</v>
      </c>
      <c r="J844" s="1">
        <v>14408.0</v>
      </c>
      <c r="K844" s="1">
        <v>25994.0</v>
      </c>
    </row>
    <row r="845">
      <c r="A845" s="1" t="s">
        <v>11</v>
      </c>
      <c r="B845" s="1" t="s">
        <v>855</v>
      </c>
      <c r="C845" s="1" t="s">
        <v>13</v>
      </c>
      <c r="D845" s="2">
        <v>46034.65106481482</v>
      </c>
      <c r="E845" s="3">
        <v>46034.0</v>
      </c>
      <c r="F845" s="3" t="str">
        <f t="shared" si="1"/>
        <v>January-2026</v>
      </c>
      <c r="G845" s="1">
        <v>15.0</v>
      </c>
      <c r="H845" s="1">
        <v>30700.0</v>
      </c>
      <c r="I845" s="1">
        <v>6171.0</v>
      </c>
      <c r="J845" s="1">
        <v>8018.0</v>
      </c>
      <c r="K845" s="1">
        <v>16511.0</v>
      </c>
    </row>
    <row r="846">
      <c r="A846" s="1" t="s">
        <v>11</v>
      </c>
      <c r="B846" s="1" t="s">
        <v>856</v>
      </c>
      <c r="C846" s="1" t="s">
        <v>13</v>
      </c>
      <c r="D846" s="2">
        <v>46034.65118055556</v>
      </c>
      <c r="E846" s="3">
        <v>46034.0</v>
      </c>
      <c r="F846" s="3" t="str">
        <f t="shared" si="1"/>
        <v>January-2026</v>
      </c>
      <c r="G846" s="1">
        <v>15.0</v>
      </c>
      <c r="H846" s="1">
        <v>22900.0</v>
      </c>
      <c r="I846" s="1">
        <v>4323.0</v>
      </c>
      <c r="J846" s="1">
        <v>5611.0</v>
      </c>
      <c r="K846" s="1">
        <v>12966.0</v>
      </c>
    </row>
    <row r="847">
      <c r="A847" s="1" t="s">
        <v>11</v>
      </c>
      <c r="B847" s="1" t="s">
        <v>857</v>
      </c>
      <c r="C847" s="1" t="s">
        <v>13</v>
      </c>
      <c r="D847" s="2">
        <v>46034.78391203703</v>
      </c>
      <c r="E847" s="3">
        <v>46034.0</v>
      </c>
      <c r="F847" s="3" t="str">
        <f t="shared" si="1"/>
        <v>January-2026</v>
      </c>
      <c r="G847" s="1">
        <v>18.0</v>
      </c>
      <c r="H847" s="1">
        <v>17900.0</v>
      </c>
      <c r="I847" s="1">
        <v>3598.0</v>
      </c>
      <c r="J847" s="1">
        <v>3509.0</v>
      </c>
      <c r="K847" s="1">
        <v>10793.0</v>
      </c>
    </row>
    <row r="848">
      <c r="A848" s="1" t="s">
        <v>11</v>
      </c>
      <c r="B848" s="1" t="s">
        <v>858</v>
      </c>
      <c r="C848" s="1" t="s">
        <v>13</v>
      </c>
      <c r="D848" s="2">
        <v>46034.84847222222</v>
      </c>
      <c r="E848" s="3">
        <v>46034.0</v>
      </c>
      <c r="F848" s="3" t="str">
        <f t="shared" si="1"/>
        <v>January-2026</v>
      </c>
      <c r="G848" s="1">
        <v>20.0</v>
      </c>
      <c r="H848" s="1">
        <v>46800.0</v>
      </c>
      <c r="I848" s="1">
        <v>9863.0</v>
      </c>
      <c r="J848" s="1">
        <v>10350.0</v>
      </c>
      <c r="K848" s="1">
        <v>26587.0</v>
      </c>
    </row>
    <row r="849">
      <c r="A849" s="1" t="s">
        <v>11</v>
      </c>
      <c r="B849" s="1" t="s">
        <v>859</v>
      </c>
      <c r="C849" s="1" t="s">
        <v>13</v>
      </c>
      <c r="D849" s="2">
        <v>46034.89232638889</v>
      </c>
      <c r="E849" s="3">
        <v>46034.0</v>
      </c>
      <c r="F849" s="3" t="str">
        <f t="shared" si="1"/>
        <v>January-2026</v>
      </c>
      <c r="G849" s="1">
        <v>21.0</v>
      </c>
      <c r="H849" s="1">
        <v>32700.0</v>
      </c>
      <c r="I849" s="1">
        <v>6573.0</v>
      </c>
      <c r="J849" s="1">
        <v>8410.0</v>
      </c>
      <c r="K849" s="1">
        <v>17717.0</v>
      </c>
    </row>
    <row r="850">
      <c r="A850" s="1" t="s">
        <v>11</v>
      </c>
      <c r="B850" s="1" t="s">
        <v>860</v>
      </c>
      <c r="C850" s="1" t="s">
        <v>13</v>
      </c>
      <c r="D850" s="2">
        <v>46034.89847222222</v>
      </c>
      <c r="E850" s="3">
        <v>46034.0</v>
      </c>
      <c r="F850" s="3" t="str">
        <f t="shared" si="1"/>
        <v>January-2026</v>
      </c>
      <c r="G850" s="1">
        <v>21.0</v>
      </c>
      <c r="H850" s="1">
        <v>22900.0</v>
      </c>
      <c r="I850" s="1">
        <v>4500.0</v>
      </c>
      <c r="J850" s="1">
        <v>4900.0</v>
      </c>
      <c r="K850" s="1">
        <v>13500.0</v>
      </c>
    </row>
    <row r="851">
      <c r="A851" s="1" t="s">
        <v>11</v>
      </c>
      <c r="B851" s="1" t="s">
        <v>861</v>
      </c>
      <c r="C851" s="1" t="s">
        <v>13</v>
      </c>
      <c r="D851" s="2">
        <v>46034.91563657407</v>
      </c>
      <c r="E851" s="3">
        <v>46034.0</v>
      </c>
      <c r="F851" s="3" t="str">
        <f t="shared" si="1"/>
        <v>January-2026</v>
      </c>
      <c r="G851" s="1">
        <v>21.0</v>
      </c>
      <c r="H851" s="1">
        <v>73800.0</v>
      </c>
      <c r="I851" s="1">
        <v>14640.0</v>
      </c>
      <c r="J851" s="1">
        <v>19240.0</v>
      </c>
      <c r="K851" s="1">
        <v>39920.0</v>
      </c>
    </row>
    <row r="852">
      <c r="A852" s="1" t="s">
        <v>11</v>
      </c>
      <c r="B852" s="1" t="s">
        <v>862</v>
      </c>
      <c r="C852" s="1" t="s">
        <v>13</v>
      </c>
      <c r="D852" s="2">
        <v>46034.94599537037</v>
      </c>
      <c r="E852" s="3">
        <v>46034.0</v>
      </c>
      <c r="F852" s="3" t="str">
        <f t="shared" si="1"/>
        <v>January-2026</v>
      </c>
      <c r="G852" s="1">
        <v>22.0</v>
      </c>
      <c r="H852" s="1">
        <v>32700.0</v>
      </c>
      <c r="I852" s="1">
        <v>6573.0</v>
      </c>
      <c r="J852" s="1">
        <v>8410.0</v>
      </c>
      <c r="K852" s="1">
        <v>17717.0</v>
      </c>
    </row>
    <row r="853">
      <c r="A853" s="1" t="s">
        <v>11</v>
      </c>
      <c r="B853" s="1" t="s">
        <v>863</v>
      </c>
      <c r="C853" s="1" t="s">
        <v>13</v>
      </c>
      <c r="D853" s="2">
        <v>46035.64111111111</v>
      </c>
      <c r="E853" s="3">
        <v>46035.0</v>
      </c>
      <c r="F853" s="3" t="str">
        <f t="shared" si="1"/>
        <v>January-2026</v>
      </c>
      <c r="G853" s="1">
        <v>15.0</v>
      </c>
      <c r="H853" s="1">
        <v>50700.0</v>
      </c>
      <c r="I853" s="1">
        <v>10058.0</v>
      </c>
      <c r="J853" s="1">
        <v>14470.0</v>
      </c>
      <c r="K853" s="1">
        <v>26172.0</v>
      </c>
    </row>
    <row r="854">
      <c r="A854" s="1" t="s">
        <v>11</v>
      </c>
      <c r="B854" s="1" t="s">
        <v>864</v>
      </c>
      <c r="C854" s="1" t="s">
        <v>13</v>
      </c>
      <c r="D854" s="2">
        <v>46035.65521990741</v>
      </c>
      <c r="E854" s="3">
        <v>46035.0</v>
      </c>
      <c r="F854" s="3" t="str">
        <f t="shared" si="1"/>
        <v>January-2026</v>
      </c>
      <c r="G854" s="1">
        <v>15.0</v>
      </c>
      <c r="H854" s="1">
        <v>56600.0</v>
      </c>
      <c r="I854" s="1">
        <v>11228.0</v>
      </c>
      <c r="J854" s="1">
        <v>15688.0</v>
      </c>
      <c r="K854" s="1">
        <v>29684.0</v>
      </c>
    </row>
    <row r="855">
      <c r="A855" s="1" t="s">
        <v>11</v>
      </c>
      <c r="B855" s="1" t="s">
        <v>865</v>
      </c>
      <c r="C855" s="1" t="s">
        <v>13</v>
      </c>
      <c r="D855" s="2">
        <v>46035.73940972222</v>
      </c>
      <c r="E855" s="3">
        <v>46035.0</v>
      </c>
      <c r="F855" s="3" t="str">
        <f t="shared" si="1"/>
        <v>January-2026</v>
      </c>
      <c r="G855" s="1">
        <v>17.0</v>
      </c>
      <c r="H855" s="1">
        <v>18500.0</v>
      </c>
      <c r="I855" s="1">
        <v>3492.0</v>
      </c>
      <c r="J855" s="1">
        <v>4533.0</v>
      </c>
      <c r="K855" s="1">
        <v>10475.0</v>
      </c>
    </row>
    <row r="856">
      <c r="A856" s="1" t="s">
        <v>11</v>
      </c>
      <c r="B856" s="1" t="s">
        <v>866</v>
      </c>
      <c r="C856" s="1" t="s">
        <v>13</v>
      </c>
      <c r="D856" s="2">
        <v>46035.746458333335</v>
      </c>
      <c r="E856" s="3">
        <v>46035.0</v>
      </c>
      <c r="F856" s="3" t="str">
        <f t="shared" si="1"/>
        <v>January-2026</v>
      </c>
      <c r="G856" s="1">
        <v>17.0</v>
      </c>
      <c r="H856" s="1">
        <v>22900.0</v>
      </c>
      <c r="I856" s="1">
        <v>4500.0</v>
      </c>
      <c r="J856" s="1">
        <v>4900.0</v>
      </c>
      <c r="K856" s="1">
        <v>13500.0</v>
      </c>
    </row>
    <row r="857">
      <c r="A857" s="1" t="s">
        <v>11</v>
      </c>
      <c r="B857" s="1" t="s">
        <v>867</v>
      </c>
      <c r="C857" s="1" t="s">
        <v>13</v>
      </c>
      <c r="D857" s="2">
        <v>46035.78162037037</v>
      </c>
      <c r="E857" s="3">
        <v>46035.0</v>
      </c>
      <c r="F857" s="3" t="str">
        <f t="shared" si="1"/>
        <v>January-2026</v>
      </c>
      <c r="G857" s="1">
        <v>18.0</v>
      </c>
      <c r="H857" s="1">
        <v>44200.0</v>
      </c>
      <c r="I857" s="1">
        <v>9213.0</v>
      </c>
      <c r="J857" s="1">
        <v>10350.0</v>
      </c>
      <c r="K857" s="1">
        <v>24637.0</v>
      </c>
    </row>
    <row r="858">
      <c r="A858" s="1" t="s">
        <v>11</v>
      </c>
      <c r="B858" s="1" t="s">
        <v>868</v>
      </c>
      <c r="C858" s="1" t="s">
        <v>13</v>
      </c>
      <c r="D858" s="2">
        <v>46035.80515046296</v>
      </c>
      <c r="E858" s="3">
        <v>46035.0</v>
      </c>
      <c r="F858" s="3" t="str">
        <f t="shared" si="1"/>
        <v>January-2026</v>
      </c>
      <c r="G858" s="1">
        <v>19.0</v>
      </c>
      <c r="H858" s="1">
        <v>55900.0</v>
      </c>
      <c r="I858" s="1">
        <v>11089.0</v>
      </c>
      <c r="J858" s="1">
        <v>15544.0</v>
      </c>
      <c r="K858" s="1">
        <v>29267.0</v>
      </c>
    </row>
    <row r="859">
      <c r="A859" s="1" t="s">
        <v>11</v>
      </c>
      <c r="B859" s="1" t="s">
        <v>869</v>
      </c>
      <c r="C859" s="1" t="s">
        <v>13</v>
      </c>
      <c r="D859" s="2">
        <v>46035.80738425926</v>
      </c>
      <c r="E859" s="3">
        <v>46035.0</v>
      </c>
      <c r="F859" s="3" t="str">
        <f t="shared" si="1"/>
        <v>January-2026</v>
      </c>
      <c r="G859" s="1">
        <v>19.0</v>
      </c>
      <c r="H859" s="1">
        <v>22900.0</v>
      </c>
      <c r="I859" s="1">
        <v>4500.0</v>
      </c>
      <c r="J859" s="1">
        <v>4900.0</v>
      </c>
      <c r="K859" s="1">
        <v>13500.0</v>
      </c>
    </row>
    <row r="860">
      <c r="A860" s="1" t="s">
        <v>11</v>
      </c>
      <c r="B860" s="1" t="s">
        <v>870</v>
      </c>
      <c r="C860" s="1" t="s">
        <v>13</v>
      </c>
      <c r="D860" s="2">
        <v>46035.82917824074</v>
      </c>
      <c r="E860" s="3">
        <v>46035.0</v>
      </c>
      <c r="F860" s="3" t="str">
        <f t="shared" si="1"/>
        <v>January-2026</v>
      </c>
      <c r="G860" s="1">
        <v>19.0</v>
      </c>
      <c r="H860" s="1">
        <v>46800.0</v>
      </c>
      <c r="I860" s="1">
        <v>9863.0</v>
      </c>
      <c r="J860" s="1">
        <v>10350.0</v>
      </c>
      <c r="K860" s="1">
        <v>26587.0</v>
      </c>
    </row>
    <row r="861">
      <c r="A861" s="1" t="s">
        <v>11</v>
      </c>
      <c r="B861" s="1" t="s">
        <v>871</v>
      </c>
      <c r="C861" s="1" t="s">
        <v>13</v>
      </c>
      <c r="D861" s="2">
        <v>46035.83631944445</v>
      </c>
      <c r="E861" s="3">
        <v>46035.0</v>
      </c>
      <c r="F861" s="3" t="str">
        <f t="shared" si="1"/>
        <v>January-2026</v>
      </c>
      <c r="G861" s="1">
        <v>20.0</v>
      </c>
      <c r="H861" s="1">
        <v>34300.0</v>
      </c>
      <c r="I861" s="1">
        <v>6895.0</v>
      </c>
      <c r="J861" s="1">
        <v>8723.0</v>
      </c>
      <c r="K861" s="1">
        <v>18682.0</v>
      </c>
    </row>
    <row r="862">
      <c r="A862" s="1" t="s">
        <v>11</v>
      </c>
      <c r="B862" s="1" t="s">
        <v>872</v>
      </c>
      <c r="C862" s="1" t="s">
        <v>13</v>
      </c>
      <c r="D862" s="2">
        <v>46035.878796296296</v>
      </c>
      <c r="E862" s="3">
        <v>46035.0</v>
      </c>
      <c r="F862" s="3" t="str">
        <f t="shared" si="1"/>
        <v>January-2026</v>
      </c>
      <c r="G862" s="1">
        <v>21.0</v>
      </c>
      <c r="H862" s="1">
        <v>37300.0</v>
      </c>
      <c r="I862" s="1">
        <v>7498.0</v>
      </c>
      <c r="J862" s="1">
        <v>9311.0</v>
      </c>
      <c r="K862" s="1">
        <v>20491.0</v>
      </c>
    </row>
    <row r="863">
      <c r="A863" s="1" t="s">
        <v>11</v>
      </c>
      <c r="B863" s="1" t="s">
        <v>873</v>
      </c>
      <c r="C863" s="1" t="s">
        <v>13</v>
      </c>
      <c r="D863" s="2">
        <v>46035.90619212963</v>
      </c>
      <c r="E863" s="3">
        <v>46035.0</v>
      </c>
      <c r="F863" s="3" t="str">
        <f t="shared" si="1"/>
        <v>January-2026</v>
      </c>
      <c r="G863" s="1">
        <v>21.0</v>
      </c>
      <c r="H863" s="1">
        <v>26500.0</v>
      </c>
      <c r="I863" s="1">
        <v>5400.0</v>
      </c>
      <c r="J863" s="1">
        <v>4900.0</v>
      </c>
      <c r="K863" s="1">
        <v>16200.0</v>
      </c>
    </row>
    <row r="864">
      <c r="A864" s="1" t="s">
        <v>11</v>
      </c>
      <c r="B864" s="1" t="s">
        <v>874</v>
      </c>
      <c r="C864" s="1" t="s">
        <v>13</v>
      </c>
      <c r="D864" s="2">
        <v>46035.910787037035</v>
      </c>
      <c r="E864" s="3">
        <v>46035.0</v>
      </c>
      <c r="F864" s="3" t="str">
        <f t="shared" si="1"/>
        <v>January-2026</v>
      </c>
      <c r="G864" s="1">
        <v>21.0</v>
      </c>
      <c r="H864" s="1">
        <v>17900.0</v>
      </c>
      <c r="I864" s="1">
        <v>4475.0</v>
      </c>
      <c r="J864" s="1">
        <v>0.0</v>
      </c>
      <c r="K864" s="1">
        <v>13425.0</v>
      </c>
    </row>
    <row r="865">
      <c r="A865" s="1" t="s">
        <v>11</v>
      </c>
      <c r="B865" s="1" t="s">
        <v>875</v>
      </c>
      <c r="C865" s="1" t="s">
        <v>13</v>
      </c>
      <c r="D865" s="2">
        <v>46036.47423611111</v>
      </c>
      <c r="E865" s="3">
        <v>46036.0</v>
      </c>
      <c r="F865" s="3" t="str">
        <f t="shared" si="1"/>
        <v>January-2026</v>
      </c>
      <c r="G865" s="1">
        <v>11.0</v>
      </c>
      <c r="H865" s="1">
        <v>40400.0</v>
      </c>
      <c r="I865" s="1">
        <v>8263.0</v>
      </c>
      <c r="J865" s="1">
        <v>10350.0</v>
      </c>
      <c r="K865" s="1">
        <v>21787.0</v>
      </c>
    </row>
    <row r="866">
      <c r="A866" s="1" t="s">
        <v>11</v>
      </c>
      <c r="B866" s="1" t="s">
        <v>876</v>
      </c>
      <c r="C866" s="1" t="s">
        <v>13</v>
      </c>
      <c r="D866" s="2">
        <v>46036.48887731481</v>
      </c>
      <c r="E866" s="3">
        <v>46036.0</v>
      </c>
      <c r="F866" s="3" t="str">
        <f t="shared" si="1"/>
        <v>January-2026</v>
      </c>
      <c r="G866" s="1">
        <v>11.0</v>
      </c>
      <c r="H866" s="1">
        <v>49900.0</v>
      </c>
      <c r="I866" s="1">
        <v>10638.0</v>
      </c>
      <c r="J866" s="1">
        <v>10350.0</v>
      </c>
      <c r="K866" s="1">
        <v>28912.0</v>
      </c>
    </row>
    <row r="867">
      <c r="A867" s="1" t="s">
        <v>11</v>
      </c>
      <c r="B867" s="1" t="s">
        <v>877</v>
      </c>
      <c r="C867" s="1" t="s">
        <v>13</v>
      </c>
      <c r="D867" s="2">
        <v>46036.71934027778</v>
      </c>
      <c r="E867" s="3">
        <v>46036.0</v>
      </c>
      <c r="F867" s="3" t="str">
        <f t="shared" si="1"/>
        <v>January-2026</v>
      </c>
      <c r="G867" s="1">
        <v>17.0</v>
      </c>
      <c r="H867" s="1">
        <v>31200.0</v>
      </c>
      <c r="I867" s="1">
        <v>6271.0</v>
      </c>
      <c r="J867" s="1">
        <v>8116.0</v>
      </c>
      <c r="K867" s="1">
        <v>16813.0</v>
      </c>
    </row>
    <row r="868">
      <c r="A868" s="1" t="s">
        <v>11</v>
      </c>
      <c r="B868" s="1" t="s">
        <v>878</v>
      </c>
      <c r="C868" s="1" t="s">
        <v>13</v>
      </c>
      <c r="D868" s="2">
        <v>46036.7475462963</v>
      </c>
      <c r="E868" s="3">
        <v>46036.0</v>
      </c>
      <c r="F868" s="3" t="str">
        <f t="shared" si="1"/>
        <v>January-2026</v>
      </c>
      <c r="G868" s="1">
        <v>17.0</v>
      </c>
      <c r="H868" s="1">
        <v>22900.0</v>
      </c>
      <c r="I868" s="1">
        <v>4500.0</v>
      </c>
      <c r="J868" s="1">
        <v>4900.0</v>
      </c>
      <c r="K868" s="1">
        <v>13500.0</v>
      </c>
    </row>
    <row r="869">
      <c r="A869" s="1" t="s">
        <v>11</v>
      </c>
      <c r="B869" s="1" t="s">
        <v>879</v>
      </c>
      <c r="C869" s="1" t="s">
        <v>13</v>
      </c>
      <c r="D869" s="2">
        <v>46036.81146990741</v>
      </c>
      <c r="E869" s="3">
        <v>46036.0</v>
      </c>
      <c r="F869" s="3" t="str">
        <f t="shared" si="1"/>
        <v>January-2026</v>
      </c>
      <c r="G869" s="1">
        <v>19.0</v>
      </c>
      <c r="H869" s="1">
        <v>45800.0</v>
      </c>
      <c r="I869" s="1">
        <v>9613.0</v>
      </c>
      <c r="J869" s="1">
        <v>10350.0</v>
      </c>
      <c r="K869" s="1">
        <v>25837.0</v>
      </c>
    </row>
    <row r="870">
      <c r="A870" s="1" t="s">
        <v>11</v>
      </c>
      <c r="B870" s="1" t="s">
        <v>880</v>
      </c>
      <c r="C870" s="1" t="s">
        <v>13</v>
      </c>
      <c r="D870" s="2">
        <v>46036.86886574074</v>
      </c>
      <c r="E870" s="3">
        <v>46036.0</v>
      </c>
      <c r="F870" s="3" t="str">
        <f t="shared" si="1"/>
        <v>January-2026</v>
      </c>
      <c r="G870" s="1">
        <v>20.0</v>
      </c>
      <c r="H870" s="1">
        <v>18500.0</v>
      </c>
      <c r="I870" s="1">
        <v>3492.0</v>
      </c>
      <c r="J870" s="1">
        <v>4533.0</v>
      </c>
      <c r="K870" s="1">
        <v>10475.0</v>
      </c>
    </row>
    <row r="871">
      <c r="A871" s="1" t="s">
        <v>11</v>
      </c>
      <c r="B871" s="1" t="s">
        <v>881</v>
      </c>
      <c r="C871" s="1" t="s">
        <v>13</v>
      </c>
      <c r="D871" s="2">
        <v>46036.87739583333</v>
      </c>
      <c r="E871" s="3">
        <v>46036.0</v>
      </c>
      <c r="F871" s="3" t="str">
        <f t="shared" si="1"/>
        <v>January-2026</v>
      </c>
      <c r="G871" s="1">
        <v>21.0</v>
      </c>
      <c r="H871" s="1">
        <v>26800.0</v>
      </c>
      <c r="I871" s="1">
        <v>5475.0</v>
      </c>
      <c r="J871" s="1">
        <v>4900.0</v>
      </c>
      <c r="K871" s="1">
        <v>16425.0</v>
      </c>
    </row>
    <row r="872">
      <c r="A872" s="1" t="s">
        <v>11</v>
      </c>
      <c r="B872" s="1" t="s">
        <v>882</v>
      </c>
      <c r="C872" s="1" t="s">
        <v>13</v>
      </c>
      <c r="D872" s="2">
        <v>46036.89061342592</v>
      </c>
      <c r="E872" s="3">
        <v>46036.0</v>
      </c>
      <c r="F872" s="3" t="str">
        <f t="shared" si="1"/>
        <v>January-2026</v>
      </c>
      <c r="G872" s="1">
        <v>21.0</v>
      </c>
      <c r="H872" s="1">
        <v>22900.0</v>
      </c>
      <c r="I872" s="1">
        <v>4500.0</v>
      </c>
      <c r="J872" s="1">
        <v>4900.0</v>
      </c>
      <c r="K872" s="1">
        <v>13500.0</v>
      </c>
    </row>
    <row r="873">
      <c r="A873" s="1" t="s">
        <v>11</v>
      </c>
      <c r="B873" s="1" t="s">
        <v>883</v>
      </c>
      <c r="C873" s="1" t="s">
        <v>13</v>
      </c>
      <c r="D873" s="2">
        <v>46036.89417824074</v>
      </c>
      <c r="E873" s="3">
        <v>46036.0</v>
      </c>
      <c r="F873" s="3" t="str">
        <f t="shared" si="1"/>
        <v>January-2026</v>
      </c>
      <c r="G873" s="1">
        <v>21.0</v>
      </c>
      <c r="H873" s="1">
        <v>46800.0</v>
      </c>
      <c r="I873" s="1">
        <v>9863.0</v>
      </c>
      <c r="J873" s="1">
        <v>10350.0</v>
      </c>
      <c r="K873" s="1">
        <v>26587.0</v>
      </c>
    </row>
    <row r="874">
      <c r="A874" s="1" t="s">
        <v>11</v>
      </c>
      <c r="B874" s="1" t="s">
        <v>884</v>
      </c>
      <c r="C874" s="1" t="s">
        <v>13</v>
      </c>
      <c r="D874" s="2">
        <v>46036.91148148148</v>
      </c>
      <c r="E874" s="3">
        <v>46036.0</v>
      </c>
      <c r="F874" s="3" t="str">
        <f t="shared" si="1"/>
        <v>January-2026</v>
      </c>
      <c r="G874" s="1">
        <v>21.0</v>
      </c>
      <c r="H874" s="1">
        <v>22900.0</v>
      </c>
      <c r="I874" s="1">
        <v>4828.0</v>
      </c>
      <c r="J874" s="1">
        <v>3591.0</v>
      </c>
      <c r="K874" s="1">
        <v>14481.0</v>
      </c>
    </row>
    <row r="875">
      <c r="A875" s="1" t="s">
        <v>11</v>
      </c>
      <c r="B875" s="1" t="s">
        <v>885</v>
      </c>
      <c r="C875" s="1" t="s">
        <v>13</v>
      </c>
      <c r="D875" s="2">
        <v>46036.95439814815</v>
      </c>
      <c r="E875" s="3">
        <v>46036.0</v>
      </c>
      <c r="F875" s="3" t="str">
        <f t="shared" si="1"/>
        <v>January-2026</v>
      </c>
      <c r="G875" s="1">
        <v>22.0</v>
      </c>
      <c r="H875" s="1">
        <v>31400.0</v>
      </c>
      <c r="I875" s="1">
        <v>6312.0</v>
      </c>
      <c r="J875" s="1">
        <v>8155.0</v>
      </c>
      <c r="K875" s="1">
        <v>16933.0</v>
      </c>
    </row>
    <row r="876">
      <c r="A876" s="1" t="s">
        <v>11</v>
      </c>
      <c r="B876" s="1" t="s">
        <v>886</v>
      </c>
      <c r="C876" s="1" t="s">
        <v>13</v>
      </c>
      <c r="D876" s="2">
        <v>46037.46241898148</v>
      </c>
      <c r="E876" s="3">
        <v>46037.0</v>
      </c>
      <c r="F876" s="3" t="str">
        <f t="shared" si="1"/>
        <v>January-2026</v>
      </c>
      <c r="G876" s="1">
        <v>11.0</v>
      </c>
      <c r="H876" s="1">
        <v>23400.0</v>
      </c>
      <c r="I876" s="1">
        <v>4625.0</v>
      </c>
      <c r="J876" s="1">
        <v>4900.0</v>
      </c>
      <c r="K876" s="1">
        <v>13875.0</v>
      </c>
    </row>
    <row r="877">
      <c r="A877" s="1" t="s">
        <v>11</v>
      </c>
      <c r="B877" s="1" t="s">
        <v>887</v>
      </c>
      <c r="C877" s="1" t="s">
        <v>13</v>
      </c>
      <c r="D877" s="2">
        <v>46037.51409722222</v>
      </c>
      <c r="E877" s="3">
        <v>46037.0</v>
      </c>
      <c r="F877" s="3" t="str">
        <f t="shared" si="1"/>
        <v>January-2026</v>
      </c>
      <c r="G877" s="1">
        <v>12.0</v>
      </c>
      <c r="H877" s="1">
        <v>22900.0</v>
      </c>
      <c r="I877" s="1">
        <v>4828.0</v>
      </c>
      <c r="J877" s="1">
        <v>3591.0</v>
      </c>
      <c r="K877" s="1">
        <v>14481.0</v>
      </c>
    </row>
    <row r="878">
      <c r="A878" s="1" t="s">
        <v>11</v>
      </c>
      <c r="B878" s="1" t="s">
        <v>888</v>
      </c>
      <c r="C878" s="1" t="s">
        <v>13</v>
      </c>
      <c r="D878" s="2">
        <v>46037.57702546296</v>
      </c>
      <c r="E878" s="3">
        <v>46037.0</v>
      </c>
      <c r="F878" s="3" t="str">
        <f t="shared" si="1"/>
        <v>January-2026</v>
      </c>
      <c r="G878" s="1">
        <v>13.0</v>
      </c>
      <c r="H878" s="1">
        <v>46300.0</v>
      </c>
      <c r="I878" s="1">
        <v>9738.0</v>
      </c>
      <c r="J878" s="1">
        <v>10350.0</v>
      </c>
      <c r="K878" s="1">
        <v>26212.0</v>
      </c>
    </row>
    <row r="879">
      <c r="A879" s="1" t="s">
        <v>11</v>
      </c>
      <c r="B879" s="1" t="s">
        <v>889</v>
      </c>
      <c r="C879" s="1" t="s">
        <v>13</v>
      </c>
      <c r="D879" s="2">
        <v>46037.65326388889</v>
      </c>
      <c r="E879" s="3">
        <v>46037.0</v>
      </c>
      <c r="F879" s="3" t="str">
        <f t="shared" si="1"/>
        <v>January-2026</v>
      </c>
      <c r="G879" s="1">
        <v>15.0</v>
      </c>
      <c r="H879" s="1">
        <v>27500.0</v>
      </c>
      <c r="I879" s="1">
        <v>5650.0</v>
      </c>
      <c r="J879" s="1">
        <v>4900.0</v>
      </c>
      <c r="K879" s="1">
        <v>16950.0</v>
      </c>
    </row>
    <row r="880">
      <c r="A880" s="1" t="s">
        <v>11</v>
      </c>
      <c r="B880" s="1" t="s">
        <v>890</v>
      </c>
      <c r="C880" s="1" t="s">
        <v>13</v>
      </c>
      <c r="D880" s="2">
        <v>46037.685625</v>
      </c>
      <c r="E880" s="3">
        <v>46037.0</v>
      </c>
      <c r="F880" s="3" t="str">
        <f t="shared" si="1"/>
        <v>January-2026</v>
      </c>
      <c r="G880" s="1">
        <v>16.0</v>
      </c>
      <c r="H880" s="1">
        <v>32700.0</v>
      </c>
      <c r="I880" s="1">
        <v>6573.0</v>
      </c>
      <c r="J880" s="1">
        <v>8410.0</v>
      </c>
      <c r="K880" s="1">
        <v>17717.0</v>
      </c>
    </row>
    <row r="881">
      <c r="A881" s="1" t="s">
        <v>11</v>
      </c>
      <c r="B881" s="1" t="s">
        <v>891</v>
      </c>
      <c r="C881" s="1" t="s">
        <v>13</v>
      </c>
      <c r="D881" s="2">
        <v>46037.79601851852</v>
      </c>
      <c r="E881" s="3">
        <v>46037.0</v>
      </c>
      <c r="F881" s="3" t="str">
        <f t="shared" si="1"/>
        <v>January-2026</v>
      </c>
      <c r="G881" s="1">
        <v>19.0</v>
      </c>
      <c r="H881" s="1">
        <v>32700.0</v>
      </c>
      <c r="I881" s="1">
        <v>6950.0</v>
      </c>
      <c r="J881" s="1">
        <v>6900.0</v>
      </c>
      <c r="K881" s="1">
        <v>18850.0</v>
      </c>
    </row>
    <row r="882">
      <c r="A882" s="1" t="s">
        <v>11</v>
      </c>
      <c r="B882" s="1" t="s">
        <v>892</v>
      </c>
      <c r="C882" s="1" t="s">
        <v>13</v>
      </c>
      <c r="D882" s="2">
        <v>46037.81219907408</v>
      </c>
      <c r="E882" s="3">
        <v>46037.0</v>
      </c>
      <c r="F882" s="3" t="str">
        <f t="shared" si="1"/>
        <v>January-2026</v>
      </c>
      <c r="G882" s="1">
        <v>19.0</v>
      </c>
      <c r="H882" s="1">
        <v>20400.0</v>
      </c>
      <c r="I882" s="1">
        <v>3601.0</v>
      </c>
      <c r="J882" s="1">
        <v>5998.0</v>
      </c>
      <c r="K882" s="1">
        <v>10801.0</v>
      </c>
    </row>
    <row r="883">
      <c r="A883" s="1" t="s">
        <v>11</v>
      </c>
      <c r="B883" s="1" t="s">
        <v>893</v>
      </c>
      <c r="C883" s="1" t="s">
        <v>13</v>
      </c>
      <c r="D883" s="2">
        <v>46037.892962962964</v>
      </c>
      <c r="E883" s="3">
        <v>46037.0</v>
      </c>
      <c r="F883" s="3" t="str">
        <f t="shared" si="1"/>
        <v>January-2026</v>
      </c>
      <c r="G883" s="1">
        <v>21.0</v>
      </c>
      <c r="H883" s="1">
        <v>41000.0</v>
      </c>
      <c r="I883" s="1">
        <v>8413.0</v>
      </c>
      <c r="J883" s="1">
        <v>10350.0</v>
      </c>
      <c r="K883" s="1">
        <v>22237.0</v>
      </c>
    </row>
    <row r="884">
      <c r="A884" s="1" t="s">
        <v>11</v>
      </c>
      <c r="B884" s="1" t="s">
        <v>894</v>
      </c>
      <c r="C884" s="1" t="s">
        <v>13</v>
      </c>
      <c r="D884" s="2">
        <v>46037.91804398148</v>
      </c>
      <c r="E884" s="3">
        <v>46037.0</v>
      </c>
      <c r="F884" s="3" t="str">
        <f t="shared" si="1"/>
        <v>January-2026</v>
      </c>
      <c r="G884" s="1">
        <v>22.0</v>
      </c>
      <c r="H884" s="1">
        <v>15600.0</v>
      </c>
      <c r="I884" s="1">
        <v>3136.0</v>
      </c>
      <c r="J884" s="1">
        <v>3058.0</v>
      </c>
      <c r="K884" s="1">
        <v>9406.0</v>
      </c>
    </row>
    <row r="885">
      <c r="A885" s="1" t="s">
        <v>11</v>
      </c>
      <c r="B885" s="1" t="s">
        <v>895</v>
      </c>
      <c r="C885" s="1" t="s">
        <v>13</v>
      </c>
      <c r="D885" s="2">
        <v>46037.920648148145</v>
      </c>
      <c r="E885" s="3">
        <v>46037.0</v>
      </c>
      <c r="F885" s="3" t="str">
        <f t="shared" si="1"/>
        <v>January-2026</v>
      </c>
      <c r="G885" s="1">
        <v>22.0</v>
      </c>
      <c r="H885" s="1">
        <v>17900.0</v>
      </c>
      <c r="I885" s="1">
        <v>3379.0</v>
      </c>
      <c r="J885" s="1">
        <v>4386.0</v>
      </c>
      <c r="K885" s="1">
        <v>10135.0</v>
      </c>
    </row>
    <row r="886">
      <c r="A886" s="1" t="s">
        <v>11</v>
      </c>
      <c r="B886" s="1" t="s">
        <v>896</v>
      </c>
      <c r="C886" s="1" t="s">
        <v>13</v>
      </c>
      <c r="D886" s="2">
        <v>46038.48267361111</v>
      </c>
      <c r="E886" s="3">
        <v>46038.0</v>
      </c>
      <c r="F886" s="3" t="str">
        <f t="shared" si="1"/>
        <v>January-2026</v>
      </c>
      <c r="G886" s="1">
        <v>11.0</v>
      </c>
      <c r="H886" s="1">
        <v>50400.0</v>
      </c>
      <c r="I886" s="1">
        <v>9998.0</v>
      </c>
      <c r="J886" s="1">
        <v>14408.0</v>
      </c>
      <c r="K886" s="1">
        <v>25994.0</v>
      </c>
    </row>
    <row r="887">
      <c r="A887" s="1" t="s">
        <v>11</v>
      </c>
      <c r="B887" s="1" t="s">
        <v>897</v>
      </c>
      <c r="C887" s="1" t="s">
        <v>13</v>
      </c>
      <c r="D887" s="2">
        <v>46038.509571759256</v>
      </c>
      <c r="E887" s="3">
        <v>46038.0</v>
      </c>
      <c r="F887" s="3" t="str">
        <f t="shared" si="1"/>
        <v>January-2026</v>
      </c>
      <c r="G887" s="1">
        <v>12.0</v>
      </c>
      <c r="H887" s="1">
        <v>32700.0</v>
      </c>
      <c r="I887" s="1">
        <v>6950.0</v>
      </c>
      <c r="J887" s="1">
        <v>6900.0</v>
      </c>
      <c r="K887" s="1">
        <v>18850.0</v>
      </c>
    </row>
    <row r="888">
      <c r="A888" s="1" t="s">
        <v>11</v>
      </c>
      <c r="B888" s="1" t="s">
        <v>898</v>
      </c>
      <c r="C888" s="1" t="s">
        <v>13</v>
      </c>
      <c r="D888" s="2">
        <v>46038.520578703705</v>
      </c>
      <c r="E888" s="3">
        <v>46038.0</v>
      </c>
      <c r="F888" s="3" t="str">
        <f t="shared" si="1"/>
        <v>January-2026</v>
      </c>
      <c r="G888" s="1">
        <v>12.0</v>
      </c>
      <c r="H888" s="1">
        <v>37300.0</v>
      </c>
      <c r="I888" s="1">
        <v>7954.0</v>
      </c>
      <c r="J888" s="1">
        <v>7484.0</v>
      </c>
      <c r="K888" s="1">
        <v>21862.0</v>
      </c>
    </row>
    <row r="889">
      <c r="A889" s="1" t="s">
        <v>11</v>
      </c>
      <c r="B889" s="1" t="s">
        <v>899</v>
      </c>
      <c r="C889" s="1" t="s">
        <v>13</v>
      </c>
      <c r="D889" s="2">
        <v>46038.54583333333</v>
      </c>
      <c r="E889" s="3">
        <v>46038.0</v>
      </c>
      <c r="F889" s="3" t="str">
        <f t="shared" si="1"/>
        <v>January-2026</v>
      </c>
      <c r="G889" s="1">
        <v>13.0</v>
      </c>
      <c r="H889" s="1">
        <v>17900.0</v>
      </c>
      <c r="I889" s="1">
        <v>3598.0</v>
      </c>
      <c r="J889" s="1">
        <v>3509.0</v>
      </c>
      <c r="K889" s="1">
        <v>10793.0</v>
      </c>
    </row>
    <row r="890">
      <c r="A890" s="1" t="s">
        <v>11</v>
      </c>
      <c r="B890" s="1" t="s">
        <v>900</v>
      </c>
      <c r="C890" s="1" t="s">
        <v>13</v>
      </c>
      <c r="D890" s="2">
        <v>46039.54157407407</v>
      </c>
      <c r="E890" s="3">
        <v>46039.0</v>
      </c>
      <c r="F890" s="3" t="str">
        <f t="shared" si="1"/>
        <v>January-2026</v>
      </c>
      <c r="G890" s="1">
        <v>12.0</v>
      </c>
      <c r="H890" s="1">
        <v>47700.0</v>
      </c>
      <c r="I890" s="1">
        <v>9843.0</v>
      </c>
      <c r="J890" s="1">
        <v>11330.0</v>
      </c>
      <c r="K890" s="1">
        <v>26527.0</v>
      </c>
    </row>
    <row r="891">
      <c r="A891" s="1" t="s">
        <v>11</v>
      </c>
      <c r="B891" s="1" t="s">
        <v>901</v>
      </c>
      <c r="C891" s="1" t="s">
        <v>13</v>
      </c>
      <c r="D891" s="2">
        <v>46039.70077546296</v>
      </c>
      <c r="E891" s="3">
        <v>46039.0</v>
      </c>
      <c r="F891" s="3" t="str">
        <f t="shared" si="1"/>
        <v>January-2026</v>
      </c>
      <c r="G891" s="1">
        <v>16.0</v>
      </c>
      <c r="H891" s="1">
        <v>19700.0</v>
      </c>
      <c r="I891" s="1">
        <v>3719.0</v>
      </c>
      <c r="J891" s="1">
        <v>4827.0</v>
      </c>
      <c r="K891" s="1">
        <v>11154.0</v>
      </c>
    </row>
    <row r="892">
      <c r="A892" s="1" t="s">
        <v>11</v>
      </c>
      <c r="B892" s="1" t="s">
        <v>902</v>
      </c>
      <c r="C892" s="1" t="s">
        <v>13</v>
      </c>
      <c r="D892" s="2">
        <v>46039.71429398148</v>
      </c>
      <c r="E892" s="3">
        <v>46039.0</v>
      </c>
      <c r="F892" s="3" t="str">
        <f t="shared" si="1"/>
        <v>January-2026</v>
      </c>
      <c r="G892" s="1">
        <v>17.0</v>
      </c>
      <c r="H892" s="1">
        <v>22400.0</v>
      </c>
      <c r="I892" s="1">
        <v>4228.0</v>
      </c>
      <c r="J892" s="1">
        <v>5488.0</v>
      </c>
      <c r="K892" s="1">
        <v>12684.0</v>
      </c>
    </row>
    <row r="893">
      <c r="A893" s="1" t="s">
        <v>11</v>
      </c>
      <c r="B893" s="1" t="s">
        <v>903</v>
      </c>
      <c r="C893" s="1" t="s">
        <v>13</v>
      </c>
      <c r="D893" s="2">
        <v>46039.76060185185</v>
      </c>
      <c r="E893" s="3">
        <v>46039.0</v>
      </c>
      <c r="F893" s="3" t="str">
        <f t="shared" si="1"/>
        <v>January-2026</v>
      </c>
      <c r="G893" s="1">
        <v>18.0</v>
      </c>
      <c r="H893" s="1">
        <v>17500.0</v>
      </c>
      <c r="I893" s="1">
        <v>3303.0</v>
      </c>
      <c r="J893" s="1">
        <v>4288.0</v>
      </c>
      <c r="K893" s="1">
        <v>9909.0</v>
      </c>
    </row>
    <row r="894">
      <c r="A894" s="1" t="s">
        <v>11</v>
      </c>
      <c r="B894" s="1" t="s">
        <v>904</v>
      </c>
      <c r="C894" s="1" t="s">
        <v>13</v>
      </c>
      <c r="D894" s="2">
        <v>46039.76314814815</v>
      </c>
      <c r="E894" s="3">
        <v>46039.0</v>
      </c>
      <c r="F894" s="3" t="str">
        <f t="shared" si="1"/>
        <v>January-2026</v>
      </c>
      <c r="G894" s="1">
        <v>18.0</v>
      </c>
      <c r="H894" s="1">
        <v>21800.0</v>
      </c>
      <c r="I894" s="1">
        <v>4225.0</v>
      </c>
      <c r="J894" s="1">
        <v>4900.0</v>
      </c>
      <c r="K894" s="1">
        <v>12675.0</v>
      </c>
    </row>
    <row r="895">
      <c r="A895" s="1" t="s">
        <v>11</v>
      </c>
      <c r="B895" s="1" t="s">
        <v>905</v>
      </c>
      <c r="C895" s="1" t="s">
        <v>13</v>
      </c>
      <c r="D895" s="2">
        <v>46039.77979166667</v>
      </c>
      <c r="E895" s="3">
        <v>46039.0</v>
      </c>
      <c r="F895" s="3" t="str">
        <f t="shared" si="1"/>
        <v>January-2026</v>
      </c>
      <c r="G895" s="1">
        <v>18.0</v>
      </c>
      <c r="H895" s="1">
        <v>30100.0</v>
      </c>
      <c r="I895" s="1">
        <v>7525.0</v>
      </c>
      <c r="J895" s="1">
        <v>2000.0</v>
      </c>
      <c r="K895" s="1">
        <v>20575.0</v>
      </c>
    </row>
    <row r="896">
      <c r="A896" s="1" t="s">
        <v>11</v>
      </c>
      <c r="B896" s="1" t="s">
        <v>906</v>
      </c>
      <c r="C896" s="1" t="s">
        <v>13</v>
      </c>
      <c r="D896" s="2">
        <v>46039.80903935185</v>
      </c>
      <c r="E896" s="3">
        <v>46039.0</v>
      </c>
      <c r="F896" s="3" t="str">
        <f t="shared" si="1"/>
        <v>January-2026</v>
      </c>
      <c r="G896" s="1">
        <v>19.0</v>
      </c>
      <c r="H896" s="1">
        <v>33400.0</v>
      </c>
      <c r="I896" s="1">
        <v>6836.0</v>
      </c>
      <c r="J896" s="1">
        <v>8056.0</v>
      </c>
      <c r="K896" s="1">
        <v>18508.0</v>
      </c>
    </row>
    <row r="897">
      <c r="A897" s="1" t="s">
        <v>11</v>
      </c>
      <c r="B897" s="1" t="s">
        <v>907</v>
      </c>
      <c r="C897" s="1" t="s">
        <v>13</v>
      </c>
      <c r="D897" s="2">
        <v>46039.80987268518</v>
      </c>
      <c r="E897" s="3">
        <v>46039.0</v>
      </c>
      <c r="F897" s="3" t="str">
        <f t="shared" si="1"/>
        <v>January-2026</v>
      </c>
      <c r="G897" s="1">
        <v>19.0</v>
      </c>
      <c r="H897" s="1">
        <v>25600.0</v>
      </c>
      <c r="I897" s="1">
        <v>5459.0</v>
      </c>
      <c r="J897" s="1">
        <v>3764.0</v>
      </c>
      <c r="K897" s="1">
        <v>16377.0</v>
      </c>
    </row>
    <row r="898">
      <c r="A898" s="1" t="s">
        <v>11</v>
      </c>
      <c r="B898" s="1" t="s">
        <v>908</v>
      </c>
      <c r="C898" s="1" t="s">
        <v>13</v>
      </c>
      <c r="D898" s="2">
        <v>46039.848807870374</v>
      </c>
      <c r="E898" s="3">
        <v>46039.0</v>
      </c>
      <c r="F898" s="3" t="str">
        <f t="shared" si="1"/>
        <v>January-2026</v>
      </c>
      <c r="G898" s="1">
        <v>20.0</v>
      </c>
      <c r="H898" s="1">
        <v>21700.0</v>
      </c>
      <c r="I898" s="1">
        <v>3830.0</v>
      </c>
      <c r="J898" s="1">
        <v>6380.0</v>
      </c>
      <c r="K898" s="1">
        <v>11490.0</v>
      </c>
    </row>
    <row r="899">
      <c r="A899" s="1" t="s">
        <v>11</v>
      </c>
      <c r="B899" s="1" t="s">
        <v>909</v>
      </c>
      <c r="C899" s="1" t="s">
        <v>13</v>
      </c>
      <c r="D899" s="2">
        <v>46039.88836805556</v>
      </c>
      <c r="E899" s="3">
        <v>46039.0</v>
      </c>
      <c r="F899" s="3" t="str">
        <f t="shared" si="1"/>
        <v>January-2026</v>
      </c>
      <c r="G899" s="1">
        <v>21.0</v>
      </c>
      <c r="H899" s="1">
        <v>31800.0</v>
      </c>
      <c r="I899" s="1">
        <v>6725.0</v>
      </c>
      <c r="J899" s="1">
        <v>6900.0</v>
      </c>
      <c r="K899" s="1">
        <v>18175.0</v>
      </c>
    </row>
    <row r="900">
      <c r="A900" s="1" t="s">
        <v>11</v>
      </c>
      <c r="B900" s="1" t="s">
        <v>910</v>
      </c>
      <c r="C900" s="1" t="s">
        <v>13</v>
      </c>
      <c r="D900" s="2">
        <v>46039.90174768519</v>
      </c>
      <c r="E900" s="3">
        <v>46039.0</v>
      </c>
      <c r="F900" s="3" t="str">
        <f t="shared" si="1"/>
        <v>January-2026</v>
      </c>
      <c r="G900" s="1">
        <v>21.0</v>
      </c>
      <c r="H900" s="1">
        <v>56000.0</v>
      </c>
      <c r="I900" s="1">
        <v>11109.0</v>
      </c>
      <c r="J900" s="1">
        <v>15564.0</v>
      </c>
      <c r="K900" s="1">
        <v>29327.0</v>
      </c>
    </row>
    <row r="901">
      <c r="A901" s="1" t="s">
        <v>11</v>
      </c>
      <c r="B901" s="1" t="s">
        <v>911</v>
      </c>
      <c r="C901" s="1" t="s">
        <v>13</v>
      </c>
      <c r="D901" s="2">
        <v>46039.9328125</v>
      </c>
      <c r="E901" s="3">
        <v>46039.0</v>
      </c>
      <c r="F901" s="3" t="str">
        <f t="shared" si="1"/>
        <v>January-2026</v>
      </c>
      <c r="G901" s="1">
        <v>22.0</v>
      </c>
      <c r="H901" s="1">
        <v>41800.0</v>
      </c>
      <c r="I901" s="1">
        <v>8613.0</v>
      </c>
      <c r="J901" s="1">
        <v>10350.0</v>
      </c>
      <c r="K901" s="1">
        <v>22837.0</v>
      </c>
    </row>
    <row r="902">
      <c r="A902" s="1" t="s">
        <v>11</v>
      </c>
      <c r="B902" s="1" t="s">
        <v>912</v>
      </c>
      <c r="C902" s="1" t="s">
        <v>13</v>
      </c>
      <c r="D902" s="2">
        <v>46039.939259259256</v>
      </c>
      <c r="E902" s="3">
        <v>46039.0</v>
      </c>
      <c r="F902" s="3" t="str">
        <f t="shared" si="1"/>
        <v>January-2026</v>
      </c>
      <c r="G902" s="1">
        <v>22.0</v>
      </c>
      <c r="H902" s="1">
        <v>41800.0</v>
      </c>
      <c r="I902" s="1">
        <v>8914.0</v>
      </c>
      <c r="J902" s="1">
        <v>9145.0</v>
      </c>
      <c r="K902" s="1">
        <v>23741.0</v>
      </c>
    </row>
    <row r="903">
      <c r="A903" s="1" t="s">
        <v>11</v>
      </c>
      <c r="B903" s="1" t="s">
        <v>913</v>
      </c>
      <c r="C903" s="1" t="s">
        <v>13</v>
      </c>
      <c r="D903" s="2">
        <v>46039.95085648148</v>
      </c>
      <c r="E903" s="3">
        <v>46039.0</v>
      </c>
      <c r="F903" s="3" t="str">
        <f t="shared" si="1"/>
        <v>January-2026</v>
      </c>
      <c r="G903" s="1">
        <v>22.0</v>
      </c>
      <c r="H903" s="1">
        <v>31800.0</v>
      </c>
      <c r="I903" s="1">
        <v>7950.0</v>
      </c>
      <c r="J903" s="1">
        <v>2000.0</v>
      </c>
      <c r="K903" s="1">
        <v>21850.0</v>
      </c>
    </row>
    <row r="904">
      <c r="A904" s="1" t="s">
        <v>11</v>
      </c>
      <c r="B904" s="1" t="s">
        <v>914</v>
      </c>
      <c r="C904" s="1" t="s">
        <v>13</v>
      </c>
      <c r="D904" s="2">
        <v>46039.95491898148</v>
      </c>
      <c r="E904" s="3">
        <v>46039.0</v>
      </c>
      <c r="F904" s="3" t="str">
        <f t="shared" si="1"/>
        <v>January-2026</v>
      </c>
      <c r="G904" s="1">
        <v>22.0</v>
      </c>
      <c r="H904" s="1">
        <v>20900.0</v>
      </c>
      <c r="I904" s="1">
        <v>4000.0</v>
      </c>
      <c r="J904" s="1">
        <v>4900.0</v>
      </c>
      <c r="K904" s="1">
        <v>12000.0</v>
      </c>
    </row>
    <row r="905">
      <c r="A905" s="1" t="s">
        <v>11</v>
      </c>
      <c r="B905" s="1" t="s">
        <v>915</v>
      </c>
      <c r="C905" s="1" t="s">
        <v>13</v>
      </c>
      <c r="D905" s="2">
        <v>46040.57550925926</v>
      </c>
      <c r="E905" s="3">
        <v>46040.0</v>
      </c>
      <c r="F905" s="3" t="str">
        <f t="shared" si="1"/>
        <v>January-2026</v>
      </c>
      <c r="G905" s="1">
        <v>13.0</v>
      </c>
      <c r="H905" s="1">
        <v>41800.0</v>
      </c>
      <c r="I905" s="1">
        <v>8613.0</v>
      </c>
      <c r="J905" s="1">
        <v>10350.0</v>
      </c>
      <c r="K905" s="1">
        <v>22837.0</v>
      </c>
    </row>
    <row r="906">
      <c r="A906" s="1" t="s">
        <v>11</v>
      </c>
      <c r="B906" s="1" t="s">
        <v>916</v>
      </c>
      <c r="C906" s="1" t="s">
        <v>13</v>
      </c>
      <c r="D906" s="2">
        <v>46040.66300925926</v>
      </c>
      <c r="E906" s="3">
        <v>46040.0</v>
      </c>
      <c r="F906" s="3" t="str">
        <f t="shared" si="1"/>
        <v>January-2026</v>
      </c>
      <c r="G906" s="1">
        <v>15.0</v>
      </c>
      <c r="H906" s="1">
        <v>31800.0</v>
      </c>
      <c r="I906" s="1">
        <v>6725.0</v>
      </c>
      <c r="J906" s="1">
        <v>6900.0</v>
      </c>
      <c r="K906" s="1">
        <v>18175.0</v>
      </c>
    </row>
    <row r="907">
      <c r="A907" s="1" t="s">
        <v>11</v>
      </c>
      <c r="B907" s="1" t="s">
        <v>917</v>
      </c>
      <c r="C907" s="1" t="s">
        <v>13</v>
      </c>
      <c r="D907" s="2">
        <v>46040.720659722225</v>
      </c>
      <c r="E907" s="3">
        <v>46040.0</v>
      </c>
      <c r="F907" s="3" t="str">
        <f t="shared" si="1"/>
        <v>January-2026</v>
      </c>
      <c r="G907" s="1">
        <v>17.0</v>
      </c>
      <c r="H907" s="1">
        <v>18500.0</v>
      </c>
      <c r="I907" s="1">
        <v>3492.0</v>
      </c>
      <c r="J907" s="1">
        <v>4533.0</v>
      </c>
      <c r="K907" s="1">
        <v>10475.0</v>
      </c>
    </row>
    <row r="908">
      <c r="A908" s="1" t="s">
        <v>11</v>
      </c>
      <c r="B908" s="1" t="s">
        <v>918</v>
      </c>
      <c r="C908" s="1" t="s">
        <v>13</v>
      </c>
      <c r="D908" s="2">
        <v>46040.725173611114</v>
      </c>
      <c r="E908" s="3">
        <v>46040.0</v>
      </c>
      <c r="F908" s="3" t="str">
        <f t="shared" si="1"/>
        <v>January-2026</v>
      </c>
      <c r="G908" s="1">
        <v>17.0</v>
      </c>
      <c r="H908" s="1">
        <v>42300.0</v>
      </c>
      <c r="I908" s="1">
        <v>8493.0</v>
      </c>
      <c r="J908" s="1">
        <v>11330.0</v>
      </c>
      <c r="K908" s="1">
        <v>22477.0</v>
      </c>
    </row>
    <row r="909">
      <c r="A909" s="1" t="s">
        <v>11</v>
      </c>
      <c r="B909" s="1" t="s">
        <v>919</v>
      </c>
      <c r="C909" s="1" t="s">
        <v>13</v>
      </c>
      <c r="D909" s="2">
        <v>46040.880474537036</v>
      </c>
      <c r="E909" s="3">
        <v>46040.0</v>
      </c>
      <c r="F909" s="3" t="str">
        <f t="shared" si="1"/>
        <v>January-2026</v>
      </c>
      <c r="G909" s="1">
        <v>21.0</v>
      </c>
      <c r="H909" s="1">
        <v>20700.0</v>
      </c>
      <c r="I909" s="1">
        <v>5175.0</v>
      </c>
      <c r="J909" s="1">
        <v>0.0</v>
      </c>
      <c r="K909" s="1">
        <v>15525.0</v>
      </c>
    </row>
    <row r="910">
      <c r="A910" s="1" t="s">
        <v>11</v>
      </c>
      <c r="B910" s="1" t="s">
        <v>920</v>
      </c>
      <c r="C910" s="1" t="s">
        <v>13</v>
      </c>
      <c r="D910" s="2">
        <v>46040.91295138889</v>
      </c>
      <c r="E910" s="3">
        <v>46040.0</v>
      </c>
      <c r="F910" s="3" t="str">
        <f t="shared" si="1"/>
        <v>January-2026</v>
      </c>
      <c r="G910" s="1">
        <v>21.0</v>
      </c>
      <c r="H910" s="1">
        <v>20900.0</v>
      </c>
      <c r="I910" s="1">
        <v>5225.0</v>
      </c>
      <c r="J910" s="1">
        <v>0.0</v>
      </c>
      <c r="K910" s="1">
        <v>15675.0</v>
      </c>
    </row>
    <row r="911">
      <c r="A911" s="1" t="s">
        <v>11</v>
      </c>
      <c r="B911" s="1" t="s">
        <v>921</v>
      </c>
      <c r="C911" s="1" t="s">
        <v>13</v>
      </c>
      <c r="D911" s="2">
        <v>46040.91552083333</v>
      </c>
      <c r="E911" s="3">
        <v>46040.0</v>
      </c>
      <c r="F911" s="3" t="str">
        <f t="shared" si="1"/>
        <v>January-2026</v>
      </c>
      <c r="G911" s="1">
        <v>21.0</v>
      </c>
      <c r="H911" s="1">
        <v>31800.0</v>
      </c>
      <c r="I911" s="1">
        <v>6782.0</v>
      </c>
      <c r="J911" s="1">
        <v>6675.0</v>
      </c>
      <c r="K911" s="1">
        <v>18343.0</v>
      </c>
    </row>
    <row r="912">
      <c r="A912" s="1" t="s">
        <v>11</v>
      </c>
      <c r="B912" s="1" t="s">
        <v>922</v>
      </c>
      <c r="C912" s="1" t="s">
        <v>13</v>
      </c>
      <c r="D912" s="2">
        <v>46040.95009259259</v>
      </c>
      <c r="E912" s="3">
        <v>46040.0</v>
      </c>
      <c r="F912" s="3" t="str">
        <f t="shared" si="1"/>
        <v>January-2026</v>
      </c>
      <c r="G912" s="1">
        <v>22.0</v>
      </c>
      <c r="H912" s="1">
        <v>20900.0</v>
      </c>
      <c r="I912" s="1">
        <v>4000.0</v>
      </c>
      <c r="J912" s="1">
        <v>4900.0</v>
      </c>
      <c r="K912" s="1">
        <v>12000.0</v>
      </c>
    </row>
    <row r="913">
      <c r="A913" s="1" t="s">
        <v>11</v>
      </c>
      <c r="B913" s="1" t="s">
        <v>923</v>
      </c>
      <c r="C913" s="1" t="s">
        <v>13</v>
      </c>
      <c r="D913" s="2">
        <v>46041.503333333334</v>
      </c>
      <c r="E913" s="3">
        <v>46041.0</v>
      </c>
      <c r="F913" s="3" t="str">
        <f t="shared" si="1"/>
        <v>January-2026</v>
      </c>
      <c r="G913" s="1">
        <v>12.0</v>
      </c>
      <c r="H913" s="1">
        <v>33400.0</v>
      </c>
      <c r="I913" s="1">
        <v>7123.0</v>
      </c>
      <c r="J913" s="1">
        <v>6910.0</v>
      </c>
      <c r="K913" s="1">
        <v>19367.0</v>
      </c>
    </row>
    <row r="914">
      <c r="A914" s="1" t="s">
        <v>11</v>
      </c>
      <c r="B914" s="1" t="s">
        <v>924</v>
      </c>
      <c r="C914" s="1" t="s">
        <v>13</v>
      </c>
      <c r="D914" s="2">
        <v>46041.53466435185</v>
      </c>
      <c r="E914" s="3">
        <v>46041.0</v>
      </c>
      <c r="F914" s="3" t="str">
        <f t="shared" si="1"/>
        <v>January-2026</v>
      </c>
      <c r="G914" s="1">
        <v>12.0</v>
      </c>
      <c r="H914" s="1">
        <v>43300.0</v>
      </c>
      <c r="I914" s="1">
        <v>9234.0</v>
      </c>
      <c r="J914" s="1">
        <v>9366.0</v>
      </c>
      <c r="K914" s="1">
        <v>24700.0</v>
      </c>
    </row>
    <row r="915">
      <c r="A915" s="1" t="s">
        <v>11</v>
      </c>
      <c r="B915" s="1" t="s">
        <v>925</v>
      </c>
      <c r="C915" s="1" t="s">
        <v>13</v>
      </c>
      <c r="D915" s="2">
        <v>46041.54552083334</v>
      </c>
      <c r="E915" s="3">
        <v>46041.0</v>
      </c>
      <c r="F915" s="3" t="str">
        <f t="shared" si="1"/>
        <v>January-2026</v>
      </c>
      <c r="G915" s="1">
        <v>13.0</v>
      </c>
      <c r="H915" s="1">
        <v>20900.0</v>
      </c>
      <c r="I915" s="1">
        <v>4000.0</v>
      </c>
      <c r="J915" s="1">
        <v>4900.0</v>
      </c>
      <c r="K915" s="1">
        <v>12000.0</v>
      </c>
    </row>
    <row r="916">
      <c r="A916" s="1" t="s">
        <v>11</v>
      </c>
      <c r="B916" s="1" t="s">
        <v>926</v>
      </c>
      <c r="C916" s="1" t="s">
        <v>13</v>
      </c>
      <c r="D916" s="2">
        <v>46041.57511574074</v>
      </c>
      <c r="E916" s="3">
        <v>46041.0</v>
      </c>
      <c r="F916" s="3" t="str">
        <f t="shared" si="1"/>
        <v>January-2026</v>
      </c>
      <c r="G916" s="1">
        <v>13.0</v>
      </c>
      <c r="H916" s="1">
        <v>41800.0</v>
      </c>
      <c r="I916" s="1">
        <v>8123.0</v>
      </c>
      <c r="J916" s="1">
        <v>12310.0</v>
      </c>
      <c r="K916" s="1">
        <v>21367.0</v>
      </c>
    </row>
    <row r="917">
      <c r="A917" s="1" t="s">
        <v>11</v>
      </c>
      <c r="B917" s="1" t="s">
        <v>927</v>
      </c>
      <c r="C917" s="1" t="s">
        <v>13</v>
      </c>
      <c r="D917" s="2">
        <v>46041.688622685186</v>
      </c>
      <c r="E917" s="3">
        <v>46041.0</v>
      </c>
      <c r="F917" s="3" t="str">
        <f t="shared" si="1"/>
        <v>January-2026</v>
      </c>
      <c r="G917" s="1">
        <v>16.0</v>
      </c>
      <c r="H917" s="1">
        <v>32300.0</v>
      </c>
      <c r="I917" s="1">
        <v>6850.0</v>
      </c>
      <c r="J917" s="1">
        <v>6900.0</v>
      </c>
      <c r="K917" s="1">
        <v>18550.0</v>
      </c>
    </row>
    <row r="918">
      <c r="A918" s="1" t="s">
        <v>11</v>
      </c>
      <c r="B918" s="1" t="s">
        <v>928</v>
      </c>
      <c r="C918" s="1" t="s">
        <v>13</v>
      </c>
      <c r="D918" s="2">
        <v>46041.69708333333</v>
      </c>
      <c r="E918" s="3">
        <v>46041.0</v>
      </c>
      <c r="F918" s="3" t="str">
        <f t="shared" si="1"/>
        <v>January-2026</v>
      </c>
      <c r="G918" s="1">
        <v>16.0</v>
      </c>
      <c r="H918" s="1">
        <v>35700.0</v>
      </c>
      <c r="I918" s="1">
        <v>7307.0</v>
      </c>
      <c r="J918" s="1">
        <v>8473.0</v>
      </c>
      <c r="K918" s="1">
        <v>19920.0</v>
      </c>
    </row>
    <row r="919">
      <c r="A919" s="1" t="s">
        <v>11</v>
      </c>
      <c r="B919" s="1" t="s">
        <v>929</v>
      </c>
      <c r="C919" s="1" t="s">
        <v>13</v>
      </c>
      <c r="D919" s="2">
        <v>46041.705358796295</v>
      </c>
      <c r="E919" s="3">
        <v>46041.0</v>
      </c>
      <c r="F919" s="3" t="str">
        <f t="shared" si="1"/>
        <v>January-2026</v>
      </c>
      <c r="G919" s="1">
        <v>16.0</v>
      </c>
      <c r="H919" s="1">
        <v>41300.0</v>
      </c>
      <c r="I919" s="1">
        <v>7998.0</v>
      </c>
      <c r="J919" s="1">
        <v>12310.0</v>
      </c>
      <c r="K919" s="1">
        <v>20992.0</v>
      </c>
    </row>
    <row r="920">
      <c r="A920" s="1" t="s">
        <v>11</v>
      </c>
      <c r="B920" s="1" t="s">
        <v>930</v>
      </c>
      <c r="C920" s="1" t="s">
        <v>13</v>
      </c>
      <c r="D920" s="2">
        <v>46041.71350694444</v>
      </c>
      <c r="E920" s="3">
        <v>46041.0</v>
      </c>
      <c r="F920" s="3" t="str">
        <f t="shared" si="1"/>
        <v>January-2026</v>
      </c>
      <c r="G920" s="1">
        <v>17.0</v>
      </c>
      <c r="H920" s="1">
        <v>31800.0</v>
      </c>
      <c r="I920" s="1">
        <v>6782.0</v>
      </c>
      <c r="J920" s="1">
        <v>6675.0</v>
      </c>
      <c r="K920" s="1">
        <v>18343.0</v>
      </c>
    </row>
    <row r="921">
      <c r="A921" s="1" t="s">
        <v>11</v>
      </c>
      <c r="B921" s="1" t="s">
        <v>931</v>
      </c>
      <c r="C921" s="1" t="s">
        <v>13</v>
      </c>
      <c r="D921" s="2">
        <v>46041.77103009259</v>
      </c>
      <c r="E921" s="3">
        <v>46041.0</v>
      </c>
      <c r="F921" s="3" t="str">
        <f t="shared" si="1"/>
        <v>January-2026</v>
      </c>
      <c r="G921" s="1">
        <v>18.0</v>
      </c>
      <c r="H921" s="1">
        <v>52700.0</v>
      </c>
      <c r="I921" s="1">
        <v>10455.0</v>
      </c>
      <c r="J921" s="1">
        <v>14883.0</v>
      </c>
      <c r="K921" s="1">
        <v>27362.0</v>
      </c>
    </row>
    <row r="922">
      <c r="A922" s="1" t="s">
        <v>11</v>
      </c>
      <c r="B922" s="1" t="s">
        <v>932</v>
      </c>
      <c r="C922" s="1" t="s">
        <v>13</v>
      </c>
      <c r="D922" s="2">
        <v>46041.79157407407</v>
      </c>
      <c r="E922" s="3">
        <v>46041.0</v>
      </c>
      <c r="F922" s="3" t="str">
        <f t="shared" si="1"/>
        <v>January-2026</v>
      </c>
      <c r="G922" s="1">
        <v>18.0</v>
      </c>
      <c r="H922" s="1">
        <v>36200.0</v>
      </c>
      <c r="I922" s="1">
        <v>6723.0</v>
      </c>
      <c r="J922" s="1">
        <v>11310.0</v>
      </c>
      <c r="K922" s="1">
        <v>18167.0</v>
      </c>
    </row>
    <row r="923">
      <c r="A923" s="1" t="s">
        <v>11</v>
      </c>
      <c r="B923" s="1" t="s">
        <v>933</v>
      </c>
      <c r="C923" s="1" t="s">
        <v>13</v>
      </c>
      <c r="D923" s="2">
        <v>46041.8065625</v>
      </c>
      <c r="E923" s="3">
        <v>46041.0</v>
      </c>
      <c r="F923" s="3" t="str">
        <f t="shared" si="1"/>
        <v>January-2026</v>
      </c>
      <c r="G923" s="1">
        <v>19.0</v>
      </c>
      <c r="H923" s="1">
        <v>42300.0</v>
      </c>
      <c r="I923" s="1">
        <v>8738.0</v>
      </c>
      <c r="J923" s="1">
        <v>10350.0</v>
      </c>
      <c r="K923" s="1">
        <v>23212.0</v>
      </c>
    </row>
    <row r="924">
      <c r="A924" s="1" t="s">
        <v>11</v>
      </c>
      <c r="B924" s="1" t="s">
        <v>934</v>
      </c>
      <c r="C924" s="1" t="s">
        <v>13</v>
      </c>
      <c r="D924" s="2">
        <v>46041.84159722222</v>
      </c>
      <c r="E924" s="3">
        <v>46041.0</v>
      </c>
      <c r="F924" s="3" t="str">
        <f t="shared" si="1"/>
        <v>January-2026</v>
      </c>
      <c r="G924" s="1">
        <v>20.0</v>
      </c>
      <c r="H924" s="1">
        <v>28700.0</v>
      </c>
      <c r="I924" s="1">
        <v>5950.0</v>
      </c>
      <c r="J924" s="1">
        <v>4900.0</v>
      </c>
      <c r="K924" s="1">
        <v>17850.0</v>
      </c>
    </row>
    <row r="925">
      <c r="A925" s="1" t="s">
        <v>11</v>
      </c>
      <c r="B925" s="1" t="s">
        <v>935</v>
      </c>
      <c r="C925" s="1" t="s">
        <v>13</v>
      </c>
      <c r="D925" s="2">
        <v>46041.86863425926</v>
      </c>
      <c r="E925" s="3">
        <v>46041.0</v>
      </c>
      <c r="F925" s="3" t="str">
        <f t="shared" si="1"/>
        <v>January-2026</v>
      </c>
      <c r="G925" s="1">
        <v>20.0</v>
      </c>
      <c r="H925" s="1">
        <v>20900.0</v>
      </c>
      <c r="I925" s="1">
        <v>4000.0</v>
      </c>
      <c r="J925" s="1">
        <v>4900.0</v>
      </c>
      <c r="K925" s="1">
        <v>12000.0</v>
      </c>
    </row>
    <row r="926">
      <c r="A926" s="1" t="s">
        <v>11</v>
      </c>
      <c r="B926" s="1" t="s">
        <v>936</v>
      </c>
      <c r="C926" s="1" t="s">
        <v>13</v>
      </c>
      <c r="D926" s="2">
        <v>46041.88453703704</v>
      </c>
      <c r="E926" s="3">
        <v>46041.0</v>
      </c>
      <c r="F926" s="3" t="str">
        <f t="shared" si="1"/>
        <v>January-2026</v>
      </c>
      <c r="G926" s="1">
        <v>21.0</v>
      </c>
      <c r="H926" s="1">
        <v>17800.0</v>
      </c>
      <c r="I926" s="1">
        <v>3360.0</v>
      </c>
      <c r="J926" s="1">
        <v>4361.0</v>
      </c>
      <c r="K926" s="1">
        <v>10079.0</v>
      </c>
    </row>
    <row r="927">
      <c r="A927" s="1" t="s">
        <v>11</v>
      </c>
      <c r="B927" s="1" t="s">
        <v>937</v>
      </c>
      <c r="C927" s="1" t="s">
        <v>13</v>
      </c>
      <c r="D927" s="2">
        <v>46041.90605324074</v>
      </c>
      <c r="E927" s="3">
        <v>46041.0</v>
      </c>
      <c r="F927" s="3" t="str">
        <f t="shared" si="1"/>
        <v>January-2026</v>
      </c>
      <c r="G927" s="1">
        <v>21.0</v>
      </c>
      <c r="H927" s="1">
        <v>30700.0</v>
      </c>
      <c r="I927" s="1">
        <v>6450.0</v>
      </c>
      <c r="J927" s="1">
        <v>6900.0</v>
      </c>
      <c r="K927" s="1">
        <v>17350.0</v>
      </c>
    </row>
    <row r="928">
      <c r="A928" s="1" t="s">
        <v>11</v>
      </c>
      <c r="B928" s="1" t="s">
        <v>938</v>
      </c>
      <c r="C928" s="1" t="s">
        <v>13</v>
      </c>
      <c r="D928" s="2">
        <v>46041.91684027778</v>
      </c>
      <c r="E928" s="3">
        <v>46041.0</v>
      </c>
      <c r="F928" s="3" t="str">
        <f t="shared" si="1"/>
        <v>January-2026</v>
      </c>
      <c r="G928" s="1">
        <v>22.0</v>
      </c>
      <c r="H928" s="1">
        <v>20900.0</v>
      </c>
      <c r="I928" s="1">
        <v>4000.0</v>
      </c>
      <c r="J928" s="1">
        <v>4900.0</v>
      </c>
      <c r="K928" s="1">
        <v>12000.0</v>
      </c>
    </row>
    <row r="929">
      <c r="A929" s="1" t="s">
        <v>11</v>
      </c>
      <c r="B929" s="1" t="s">
        <v>939</v>
      </c>
      <c r="C929" s="1" t="s">
        <v>13</v>
      </c>
      <c r="D929" s="2">
        <v>46041.936585648145</v>
      </c>
      <c r="E929" s="3">
        <v>46041.0</v>
      </c>
      <c r="F929" s="3" t="str">
        <f t="shared" si="1"/>
        <v>January-2026</v>
      </c>
      <c r="G929" s="1">
        <v>22.0</v>
      </c>
      <c r="H929" s="1">
        <v>20900.0</v>
      </c>
      <c r="I929" s="1">
        <v>5225.0</v>
      </c>
      <c r="J929" s="1">
        <v>0.0</v>
      </c>
      <c r="K929" s="1">
        <v>15675.0</v>
      </c>
    </row>
    <row r="930">
      <c r="A930" s="1" t="s">
        <v>11</v>
      </c>
      <c r="B930" s="1" t="s">
        <v>940</v>
      </c>
      <c r="C930" s="1" t="s">
        <v>13</v>
      </c>
      <c r="D930" s="2">
        <v>46042.59385416667</v>
      </c>
      <c r="E930" s="3">
        <v>46042.0</v>
      </c>
      <c r="F930" s="3" t="str">
        <f t="shared" si="1"/>
        <v>January-2026</v>
      </c>
      <c r="G930" s="1">
        <v>14.0</v>
      </c>
      <c r="H930" s="1">
        <v>45300.0</v>
      </c>
      <c r="I930" s="1">
        <v>8998.0</v>
      </c>
      <c r="J930" s="1">
        <v>12310.0</v>
      </c>
      <c r="K930" s="1">
        <v>23992.0</v>
      </c>
    </row>
    <row r="931">
      <c r="A931" s="1" t="s">
        <v>11</v>
      </c>
      <c r="B931" s="1" t="s">
        <v>941</v>
      </c>
      <c r="C931" s="1" t="s">
        <v>13</v>
      </c>
      <c r="D931" s="2">
        <v>46042.65712962963</v>
      </c>
      <c r="E931" s="3">
        <v>46042.0</v>
      </c>
      <c r="F931" s="3" t="str">
        <f t="shared" si="1"/>
        <v>January-2026</v>
      </c>
      <c r="G931" s="1">
        <v>15.0</v>
      </c>
      <c r="H931" s="1">
        <v>37400.0</v>
      </c>
      <c r="I931" s="1">
        <v>7976.0</v>
      </c>
      <c r="J931" s="1">
        <v>7498.0</v>
      </c>
      <c r="K931" s="1">
        <v>21926.0</v>
      </c>
    </row>
    <row r="932">
      <c r="A932" s="1" t="s">
        <v>11</v>
      </c>
      <c r="B932" s="1" t="s">
        <v>942</v>
      </c>
      <c r="C932" s="1" t="s">
        <v>13</v>
      </c>
      <c r="D932" s="2">
        <v>46042.68797453704</v>
      </c>
      <c r="E932" s="3">
        <v>46042.0</v>
      </c>
      <c r="F932" s="3" t="str">
        <f t="shared" si="1"/>
        <v>January-2026</v>
      </c>
      <c r="G932" s="1">
        <v>16.0</v>
      </c>
      <c r="H932" s="1">
        <v>18500.0</v>
      </c>
      <c r="I932" s="1">
        <v>3492.0</v>
      </c>
      <c r="J932" s="1">
        <v>4533.0</v>
      </c>
      <c r="K932" s="1">
        <v>10475.0</v>
      </c>
    </row>
    <row r="933">
      <c r="A933" s="1" t="s">
        <v>11</v>
      </c>
      <c r="B933" s="1" t="s">
        <v>943</v>
      </c>
      <c r="C933" s="1" t="s">
        <v>13</v>
      </c>
      <c r="D933" s="2">
        <v>46042.70030092593</v>
      </c>
      <c r="E933" s="3">
        <v>46042.0</v>
      </c>
      <c r="F933" s="3" t="str">
        <f t="shared" si="1"/>
        <v>January-2026</v>
      </c>
      <c r="G933" s="1">
        <v>16.0</v>
      </c>
      <c r="H933" s="1">
        <v>30600.0</v>
      </c>
      <c r="I933" s="1">
        <v>5401.0</v>
      </c>
      <c r="J933" s="1">
        <v>10997.0</v>
      </c>
      <c r="K933" s="1">
        <v>14202.0</v>
      </c>
    </row>
    <row r="934">
      <c r="A934" s="1" t="s">
        <v>11</v>
      </c>
      <c r="B934" s="1" t="s">
        <v>944</v>
      </c>
      <c r="C934" s="1" t="s">
        <v>13</v>
      </c>
      <c r="D934" s="2">
        <v>46042.738912037035</v>
      </c>
      <c r="E934" s="3">
        <v>46042.0</v>
      </c>
      <c r="F934" s="3" t="str">
        <f t="shared" si="1"/>
        <v>January-2026</v>
      </c>
      <c r="G934" s="1">
        <v>17.0</v>
      </c>
      <c r="H934" s="1">
        <v>31800.0</v>
      </c>
      <c r="I934" s="1">
        <v>6725.0</v>
      </c>
      <c r="J934" s="1">
        <v>6900.0</v>
      </c>
      <c r="K934" s="1">
        <v>18175.0</v>
      </c>
    </row>
    <row r="935">
      <c r="A935" s="1" t="s">
        <v>11</v>
      </c>
      <c r="B935" s="1" t="s">
        <v>945</v>
      </c>
      <c r="C935" s="1" t="s">
        <v>13</v>
      </c>
      <c r="D935" s="2">
        <v>46042.75067129629</v>
      </c>
      <c r="E935" s="3">
        <v>46042.0</v>
      </c>
      <c r="F935" s="3" t="str">
        <f t="shared" si="1"/>
        <v>January-2026</v>
      </c>
      <c r="G935" s="1">
        <v>18.0</v>
      </c>
      <c r="H935" s="1">
        <v>20900.0</v>
      </c>
      <c r="I935" s="1">
        <v>4000.0</v>
      </c>
      <c r="J935" s="1">
        <v>4900.0</v>
      </c>
      <c r="K935" s="1">
        <v>12000.0</v>
      </c>
    </row>
    <row r="936">
      <c r="A936" s="1" t="s">
        <v>11</v>
      </c>
      <c r="B936" s="1" t="s">
        <v>946</v>
      </c>
      <c r="C936" s="1" t="s">
        <v>13</v>
      </c>
      <c r="D936" s="2">
        <v>46042.76008101852</v>
      </c>
      <c r="E936" s="3">
        <v>46042.0</v>
      </c>
      <c r="F936" s="3" t="str">
        <f t="shared" si="1"/>
        <v>January-2026</v>
      </c>
      <c r="G936" s="1">
        <v>18.0</v>
      </c>
      <c r="H936" s="1">
        <v>45900.0</v>
      </c>
      <c r="I936" s="1">
        <v>9148.0</v>
      </c>
      <c r="J936" s="1">
        <v>12310.0</v>
      </c>
      <c r="K936" s="1">
        <v>24442.0</v>
      </c>
    </row>
    <row r="937">
      <c r="A937" s="1" t="s">
        <v>11</v>
      </c>
      <c r="B937" s="1" t="s">
        <v>947</v>
      </c>
      <c r="C937" s="1" t="s">
        <v>13</v>
      </c>
      <c r="D937" s="2">
        <v>46042.76259259259</v>
      </c>
      <c r="E937" s="3">
        <v>46042.0</v>
      </c>
      <c r="F937" s="3" t="str">
        <f t="shared" si="1"/>
        <v>January-2026</v>
      </c>
      <c r="G937" s="1">
        <v>18.0</v>
      </c>
      <c r="H937" s="1">
        <v>63600.0</v>
      </c>
      <c r="I937" s="1">
        <v>12617.0</v>
      </c>
      <c r="J937" s="1">
        <v>13134.0</v>
      </c>
      <c r="K937" s="1">
        <v>37849.0</v>
      </c>
    </row>
    <row r="938">
      <c r="A938" s="1" t="s">
        <v>11</v>
      </c>
      <c r="B938" s="1" t="s">
        <v>948</v>
      </c>
      <c r="C938" s="1" t="s">
        <v>13</v>
      </c>
      <c r="D938" s="2">
        <v>46042.77563657407</v>
      </c>
      <c r="E938" s="3">
        <v>46042.0</v>
      </c>
      <c r="F938" s="3" t="str">
        <f t="shared" si="1"/>
        <v>January-2026</v>
      </c>
      <c r="G938" s="1">
        <v>18.0</v>
      </c>
      <c r="H938" s="1">
        <v>20900.0</v>
      </c>
      <c r="I938" s="1">
        <v>4000.0</v>
      </c>
      <c r="J938" s="1">
        <v>4900.0</v>
      </c>
      <c r="K938" s="1">
        <v>12000.0</v>
      </c>
    </row>
    <row r="939">
      <c r="A939" s="1" t="s">
        <v>11</v>
      </c>
      <c r="B939" s="1" t="s">
        <v>949</v>
      </c>
      <c r="C939" s="1" t="s">
        <v>13</v>
      </c>
      <c r="D939" s="2">
        <v>46042.7790625</v>
      </c>
      <c r="E939" s="3">
        <v>46042.0</v>
      </c>
      <c r="F939" s="3" t="str">
        <f t="shared" si="1"/>
        <v>January-2026</v>
      </c>
      <c r="G939" s="1">
        <v>18.0</v>
      </c>
      <c r="H939" s="1">
        <v>32300.0</v>
      </c>
      <c r="I939" s="1">
        <v>6850.0</v>
      </c>
      <c r="J939" s="1">
        <v>6900.0</v>
      </c>
      <c r="K939" s="1">
        <v>18550.0</v>
      </c>
    </row>
    <row r="940">
      <c r="A940" s="1" t="s">
        <v>11</v>
      </c>
      <c r="B940" s="1" t="s">
        <v>950</v>
      </c>
      <c r="C940" s="1" t="s">
        <v>13</v>
      </c>
      <c r="D940" s="2">
        <v>46042.788981481484</v>
      </c>
      <c r="E940" s="3">
        <v>46042.0</v>
      </c>
      <c r="F940" s="3" t="str">
        <f t="shared" si="1"/>
        <v>January-2026</v>
      </c>
      <c r="G940" s="1">
        <v>18.0</v>
      </c>
      <c r="H940" s="1">
        <v>51800.0</v>
      </c>
      <c r="I940" s="1">
        <v>10276.0</v>
      </c>
      <c r="J940" s="1">
        <v>14697.0</v>
      </c>
      <c r="K940" s="1">
        <v>26827.0</v>
      </c>
    </row>
    <row r="941">
      <c r="A941" s="1" t="s">
        <v>11</v>
      </c>
      <c r="B941" s="1" t="s">
        <v>951</v>
      </c>
      <c r="C941" s="1" t="s">
        <v>13</v>
      </c>
      <c r="D941" s="2">
        <v>46042.80310185185</v>
      </c>
      <c r="E941" s="3">
        <v>46042.0</v>
      </c>
      <c r="F941" s="3" t="str">
        <f t="shared" si="1"/>
        <v>January-2026</v>
      </c>
      <c r="G941" s="1">
        <v>19.0</v>
      </c>
      <c r="H941" s="1">
        <v>41800.0</v>
      </c>
      <c r="I941" s="1">
        <v>8914.0</v>
      </c>
      <c r="J941" s="1">
        <v>9145.0</v>
      </c>
      <c r="K941" s="1">
        <v>23741.0</v>
      </c>
    </row>
    <row r="942">
      <c r="A942" s="1" t="s">
        <v>11</v>
      </c>
      <c r="B942" s="1" t="s">
        <v>952</v>
      </c>
      <c r="C942" s="1" t="s">
        <v>13</v>
      </c>
      <c r="D942" s="2">
        <v>46042.86252314815</v>
      </c>
      <c r="E942" s="3">
        <v>46042.0</v>
      </c>
      <c r="F942" s="3" t="str">
        <f t="shared" si="1"/>
        <v>January-2026</v>
      </c>
      <c r="G942" s="1">
        <v>20.0</v>
      </c>
      <c r="H942" s="1">
        <v>15900.0</v>
      </c>
      <c r="I942" s="1">
        <v>3196.0</v>
      </c>
      <c r="J942" s="1">
        <v>3117.0</v>
      </c>
      <c r="K942" s="1">
        <v>9587.0</v>
      </c>
    </row>
    <row r="943">
      <c r="A943" s="1" t="s">
        <v>11</v>
      </c>
      <c r="B943" s="1" t="s">
        <v>953</v>
      </c>
      <c r="C943" s="1" t="s">
        <v>13</v>
      </c>
      <c r="D943" s="2">
        <v>46042.91769675926</v>
      </c>
      <c r="E943" s="3">
        <v>46042.0</v>
      </c>
      <c r="F943" s="3" t="str">
        <f t="shared" si="1"/>
        <v>January-2026</v>
      </c>
      <c r="G943" s="1">
        <v>22.0</v>
      </c>
      <c r="H943" s="1">
        <v>15900.0</v>
      </c>
      <c r="I943" s="1">
        <v>3001.0</v>
      </c>
      <c r="J943" s="1">
        <v>3896.0</v>
      </c>
      <c r="K943" s="1">
        <v>9003.0</v>
      </c>
    </row>
    <row r="944">
      <c r="A944" s="1" t="s">
        <v>11</v>
      </c>
      <c r="B944" s="1" t="s">
        <v>954</v>
      </c>
      <c r="C944" s="1" t="s">
        <v>13</v>
      </c>
      <c r="D944" s="2">
        <v>46042.920266203706</v>
      </c>
      <c r="E944" s="3">
        <v>46042.0</v>
      </c>
      <c r="F944" s="3" t="str">
        <f t="shared" si="1"/>
        <v>January-2026</v>
      </c>
      <c r="G944" s="1">
        <v>22.0</v>
      </c>
      <c r="H944" s="1">
        <v>67400.0</v>
      </c>
      <c r="I944" s="1">
        <v>13371.0</v>
      </c>
      <c r="J944" s="1">
        <v>17919.0</v>
      </c>
      <c r="K944" s="1">
        <v>36110.0</v>
      </c>
    </row>
    <row r="945">
      <c r="A945" s="1" t="s">
        <v>11</v>
      </c>
      <c r="B945" s="1" t="s">
        <v>955</v>
      </c>
      <c r="C945" s="1" t="s">
        <v>13</v>
      </c>
      <c r="D945" s="2">
        <v>46042.93069444445</v>
      </c>
      <c r="E945" s="3">
        <v>46042.0</v>
      </c>
      <c r="F945" s="3" t="str">
        <f t="shared" si="1"/>
        <v>January-2026</v>
      </c>
      <c r="G945" s="1">
        <v>22.0</v>
      </c>
      <c r="H945" s="1">
        <v>41800.0</v>
      </c>
      <c r="I945" s="1">
        <v>8613.0</v>
      </c>
      <c r="J945" s="1">
        <v>7350.0</v>
      </c>
      <c r="K945" s="1">
        <v>25837.0</v>
      </c>
    </row>
    <row r="946">
      <c r="A946" s="1" t="s">
        <v>11</v>
      </c>
      <c r="B946" s="1" t="s">
        <v>956</v>
      </c>
      <c r="C946" s="1" t="s">
        <v>13</v>
      </c>
      <c r="D946" s="2">
        <v>46042.95819444444</v>
      </c>
      <c r="E946" s="3">
        <v>46042.0</v>
      </c>
      <c r="F946" s="3" t="str">
        <f t="shared" si="1"/>
        <v>January-2026</v>
      </c>
      <c r="G946" s="1">
        <v>22.0</v>
      </c>
      <c r="H946" s="1">
        <v>48400.0</v>
      </c>
      <c r="I946" s="1">
        <v>12100.0</v>
      </c>
      <c r="J946" s="1">
        <v>3000.0</v>
      </c>
      <c r="K946" s="1">
        <v>33300.0</v>
      </c>
    </row>
    <row r="947">
      <c r="A947" s="1" t="s">
        <v>11</v>
      </c>
      <c r="B947" s="1" t="s">
        <v>957</v>
      </c>
      <c r="C947" s="1" t="s">
        <v>13</v>
      </c>
      <c r="D947" s="2">
        <v>46043.5087037037</v>
      </c>
      <c r="E947" s="3">
        <v>46043.0</v>
      </c>
      <c r="F947" s="3" t="str">
        <f t="shared" si="1"/>
        <v>January-2026</v>
      </c>
      <c r="G947" s="1">
        <v>12.0</v>
      </c>
      <c r="H947" s="1">
        <v>26500.0</v>
      </c>
      <c r="I947" s="1">
        <v>5002.0</v>
      </c>
      <c r="J947" s="1">
        <v>6493.0</v>
      </c>
      <c r="K947" s="1">
        <v>15005.0</v>
      </c>
    </row>
    <row r="948">
      <c r="A948" s="1" t="s">
        <v>11</v>
      </c>
      <c r="B948" s="1" t="s">
        <v>958</v>
      </c>
      <c r="C948" s="1" t="s">
        <v>13</v>
      </c>
      <c r="D948" s="2">
        <v>46043.722025462965</v>
      </c>
      <c r="E948" s="3">
        <v>46043.0</v>
      </c>
      <c r="F948" s="3" t="str">
        <f t="shared" si="1"/>
        <v>January-2026</v>
      </c>
      <c r="G948" s="1">
        <v>17.0</v>
      </c>
      <c r="H948" s="1">
        <v>18500.0</v>
      </c>
      <c r="I948" s="1">
        <v>3492.0</v>
      </c>
      <c r="J948" s="1">
        <v>4533.0</v>
      </c>
      <c r="K948" s="1">
        <v>10475.0</v>
      </c>
    </row>
    <row r="949">
      <c r="A949" s="1" t="s">
        <v>11</v>
      </c>
      <c r="B949" s="1" t="s">
        <v>959</v>
      </c>
      <c r="C949" s="1" t="s">
        <v>13</v>
      </c>
      <c r="D949" s="2">
        <v>46043.78461805556</v>
      </c>
      <c r="E949" s="3">
        <v>46043.0</v>
      </c>
      <c r="F949" s="3" t="str">
        <f t="shared" si="1"/>
        <v>January-2026</v>
      </c>
      <c r="G949" s="1">
        <v>18.0</v>
      </c>
      <c r="H949" s="1">
        <v>20900.0</v>
      </c>
      <c r="I949" s="1">
        <v>4000.0</v>
      </c>
      <c r="J949" s="1">
        <v>4900.0</v>
      </c>
      <c r="K949" s="1">
        <v>12000.0</v>
      </c>
    </row>
    <row r="950">
      <c r="A950" s="1" t="s">
        <v>11</v>
      </c>
      <c r="B950" s="1" t="s">
        <v>960</v>
      </c>
      <c r="C950" s="1" t="s">
        <v>13</v>
      </c>
      <c r="D950" s="2">
        <v>46043.78778935185</v>
      </c>
      <c r="E950" s="3">
        <v>46043.0</v>
      </c>
      <c r="F950" s="3" t="str">
        <f t="shared" si="1"/>
        <v>January-2026</v>
      </c>
      <c r="G950" s="1">
        <v>18.0</v>
      </c>
      <c r="H950" s="1">
        <v>18800.0</v>
      </c>
      <c r="I950" s="1">
        <v>3779.0</v>
      </c>
      <c r="J950" s="1">
        <v>3685.0</v>
      </c>
      <c r="K950" s="1">
        <v>11336.0</v>
      </c>
    </row>
    <row r="951">
      <c r="A951" s="1" t="s">
        <v>11</v>
      </c>
      <c r="B951" s="1" t="s">
        <v>961</v>
      </c>
      <c r="C951" s="1" t="s">
        <v>13</v>
      </c>
      <c r="D951" s="2">
        <v>46043.807233796295</v>
      </c>
      <c r="E951" s="3">
        <v>46043.0</v>
      </c>
      <c r="F951" s="3" t="str">
        <f t="shared" si="1"/>
        <v>January-2026</v>
      </c>
      <c r="G951" s="1">
        <v>19.0</v>
      </c>
      <c r="H951" s="1">
        <v>26500.0</v>
      </c>
      <c r="I951" s="1">
        <v>5400.0</v>
      </c>
      <c r="J951" s="1">
        <v>4900.0</v>
      </c>
      <c r="K951" s="1">
        <v>16200.0</v>
      </c>
    </row>
    <row r="952">
      <c r="A952" s="1" t="s">
        <v>11</v>
      </c>
      <c r="B952" s="1" t="s">
        <v>962</v>
      </c>
      <c r="C952" s="1" t="s">
        <v>13</v>
      </c>
      <c r="D952" s="2">
        <v>46043.826319444444</v>
      </c>
      <c r="E952" s="3">
        <v>46043.0</v>
      </c>
      <c r="F952" s="3" t="str">
        <f t="shared" si="1"/>
        <v>January-2026</v>
      </c>
      <c r="G952" s="1">
        <v>19.0</v>
      </c>
      <c r="H952" s="1">
        <v>23800.0</v>
      </c>
      <c r="I952" s="1">
        <v>4725.0</v>
      </c>
      <c r="J952" s="1">
        <v>4900.0</v>
      </c>
      <c r="K952" s="1">
        <v>14175.0</v>
      </c>
    </row>
    <row r="953">
      <c r="A953" s="1" t="s">
        <v>11</v>
      </c>
      <c r="B953" s="1" t="s">
        <v>963</v>
      </c>
      <c r="C953" s="1" t="s">
        <v>13</v>
      </c>
      <c r="D953" s="2">
        <v>46043.83207175926</v>
      </c>
      <c r="E953" s="3">
        <v>46043.0</v>
      </c>
      <c r="F953" s="3" t="str">
        <f t="shared" si="1"/>
        <v>January-2026</v>
      </c>
      <c r="G953" s="1">
        <v>19.0</v>
      </c>
      <c r="H953" s="1">
        <v>54600.0</v>
      </c>
      <c r="I953" s="1">
        <v>10832.0</v>
      </c>
      <c r="J953" s="1">
        <v>15275.0</v>
      </c>
      <c r="K953" s="1">
        <v>28493.0</v>
      </c>
    </row>
    <row r="954">
      <c r="A954" s="1" t="s">
        <v>11</v>
      </c>
      <c r="B954" s="1" t="s">
        <v>964</v>
      </c>
      <c r="C954" s="1" t="s">
        <v>13</v>
      </c>
      <c r="D954" s="2">
        <v>46043.8390162037</v>
      </c>
      <c r="E954" s="3">
        <v>46043.0</v>
      </c>
      <c r="F954" s="3" t="str">
        <f t="shared" si="1"/>
        <v>January-2026</v>
      </c>
      <c r="G954" s="1">
        <v>20.0</v>
      </c>
      <c r="H954" s="1">
        <v>21400.0</v>
      </c>
      <c r="I954" s="1">
        <v>4040.0</v>
      </c>
      <c r="J954" s="1">
        <v>5243.0</v>
      </c>
      <c r="K954" s="1">
        <v>12117.0</v>
      </c>
    </row>
    <row r="955">
      <c r="A955" s="1" t="s">
        <v>11</v>
      </c>
      <c r="B955" s="1" t="s">
        <v>965</v>
      </c>
      <c r="C955" s="1" t="s">
        <v>13</v>
      </c>
      <c r="D955" s="2">
        <v>46043.87670138889</v>
      </c>
      <c r="E955" s="3">
        <v>46043.0</v>
      </c>
      <c r="F955" s="3" t="str">
        <f t="shared" si="1"/>
        <v>January-2026</v>
      </c>
      <c r="G955" s="1">
        <v>21.0</v>
      </c>
      <c r="H955" s="1">
        <v>49600.0</v>
      </c>
      <c r="I955" s="1">
        <v>10563.0</v>
      </c>
      <c r="J955" s="1">
        <v>10350.0</v>
      </c>
      <c r="K955" s="1">
        <v>28687.0</v>
      </c>
    </row>
    <row r="956">
      <c r="A956" s="1" t="s">
        <v>11</v>
      </c>
      <c r="B956" s="1" t="s">
        <v>966</v>
      </c>
      <c r="C956" s="1" t="s">
        <v>13</v>
      </c>
      <c r="D956" s="2">
        <v>46043.89591435185</v>
      </c>
      <c r="E956" s="3">
        <v>46043.0</v>
      </c>
      <c r="F956" s="3" t="str">
        <f t="shared" si="1"/>
        <v>January-2026</v>
      </c>
      <c r="G956" s="1">
        <v>21.0</v>
      </c>
      <c r="H956" s="1">
        <v>38700.0</v>
      </c>
      <c r="I956" s="1">
        <v>7838.0</v>
      </c>
      <c r="J956" s="1">
        <v>9350.0</v>
      </c>
      <c r="K956" s="1">
        <v>21512.0</v>
      </c>
    </row>
    <row r="957">
      <c r="A957" s="1" t="s">
        <v>11</v>
      </c>
      <c r="B957" s="1" t="s">
        <v>967</v>
      </c>
      <c r="C957" s="1" t="s">
        <v>13</v>
      </c>
      <c r="D957" s="2">
        <v>46043.927037037036</v>
      </c>
      <c r="E957" s="3">
        <v>46043.0</v>
      </c>
      <c r="F957" s="3" t="str">
        <f t="shared" si="1"/>
        <v>January-2026</v>
      </c>
      <c r="G957" s="1">
        <v>22.0</v>
      </c>
      <c r="H957" s="1">
        <v>42300.0</v>
      </c>
      <c r="I957" s="1">
        <v>8738.0</v>
      </c>
      <c r="J957" s="1">
        <v>10350.0</v>
      </c>
      <c r="K957" s="1">
        <v>23212.0</v>
      </c>
    </row>
    <row r="958">
      <c r="A958" s="1" t="s">
        <v>11</v>
      </c>
      <c r="B958" s="1" t="s">
        <v>968</v>
      </c>
      <c r="C958" s="1" t="s">
        <v>13</v>
      </c>
      <c r="D958" s="2">
        <v>46043.9294212963</v>
      </c>
      <c r="E958" s="3">
        <v>46043.0</v>
      </c>
      <c r="F958" s="3" t="str">
        <f t="shared" si="1"/>
        <v>January-2026</v>
      </c>
      <c r="G958" s="1">
        <v>22.0</v>
      </c>
      <c r="H958" s="1">
        <v>25900.0</v>
      </c>
      <c r="I958" s="1">
        <v>5250.0</v>
      </c>
      <c r="J958" s="1">
        <v>4900.0</v>
      </c>
      <c r="K958" s="1">
        <v>15750.0</v>
      </c>
    </row>
    <row r="959">
      <c r="A959" s="1" t="s">
        <v>11</v>
      </c>
      <c r="B959" s="1" t="s">
        <v>969</v>
      </c>
      <c r="C959" s="1" t="s">
        <v>13</v>
      </c>
      <c r="D959" s="2">
        <v>46044.47287037037</v>
      </c>
      <c r="E959" s="3">
        <v>46044.0</v>
      </c>
      <c r="F959" s="3" t="str">
        <f t="shared" si="1"/>
        <v>January-2026</v>
      </c>
      <c r="G959" s="1">
        <v>11.0</v>
      </c>
      <c r="H959" s="1">
        <v>20700.0</v>
      </c>
      <c r="I959" s="1">
        <v>5175.0</v>
      </c>
      <c r="J959" s="1">
        <v>0.0</v>
      </c>
      <c r="K959" s="1">
        <v>15525.0</v>
      </c>
    </row>
    <row r="960">
      <c r="A960" s="1" t="s">
        <v>11</v>
      </c>
      <c r="B960" s="1" t="s">
        <v>970</v>
      </c>
      <c r="C960" s="1" t="s">
        <v>13</v>
      </c>
      <c r="D960" s="2">
        <v>46044.50481481481</v>
      </c>
      <c r="E960" s="3">
        <v>46044.0</v>
      </c>
      <c r="F960" s="3" t="str">
        <f t="shared" si="1"/>
        <v>January-2026</v>
      </c>
      <c r="G960" s="1">
        <v>12.0</v>
      </c>
      <c r="H960" s="1">
        <v>20900.0</v>
      </c>
      <c r="I960" s="1">
        <v>4000.0</v>
      </c>
      <c r="J960" s="1">
        <v>4900.0</v>
      </c>
      <c r="K960" s="1">
        <v>12000.0</v>
      </c>
    </row>
    <row r="961">
      <c r="A961" s="1" t="s">
        <v>11</v>
      </c>
      <c r="B961" s="1" t="s">
        <v>971</v>
      </c>
      <c r="C961" s="1" t="s">
        <v>13</v>
      </c>
      <c r="D961" s="2">
        <v>46044.512349537035</v>
      </c>
      <c r="E961" s="3">
        <v>46044.0</v>
      </c>
      <c r="F961" s="3" t="str">
        <f t="shared" si="1"/>
        <v>January-2026</v>
      </c>
      <c r="G961" s="1">
        <v>12.0</v>
      </c>
      <c r="H961" s="1">
        <v>18500.0</v>
      </c>
      <c r="I961" s="1">
        <v>3492.0</v>
      </c>
      <c r="J961" s="1">
        <v>4533.0</v>
      </c>
      <c r="K961" s="1">
        <v>10475.0</v>
      </c>
    </row>
    <row r="962">
      <c r="A962" s="1" t="s">
        <v>11</v>
      </c>
      <c r="B962" s="1" t="s">
        <v>972</v>
      </c>
      <c r="C962" s="1" t="s">
        <v>13</v>
      </c>
      <c r="D962" s="2">
        <v>46044.570289351854</v>
      </c>
      <c r="E962" s="3">
        <v>46044.0</v>
      </c>
      <c r="F962" s="3" t="str">
        <f t="shared" si="1"/>
        <v>January-2026</v>
      </c>
      <c r="G962" s="1">
        <v>13.0</v>
      </c>
      <c r="H962" s="1">
        <v>20900.0</v>
      </c>
      <c r="I962" s="1">
        <v>4000.0</v>
      </c>
      <c r="J962" s="1">
        <v>4900.0</v>
      </c>
      <c r="K962" s="1">
        <v>12000.0</v>
      </c>
    </row>
    <row r="963">
      <c r="A963" s="1" t="s">
        <v>11</v>
      </c>
      <c r="B963" s="1" t="s">
        <v>973</v>
      </c>
      <c r="C963" s="1" t="s">
        <v>13</v>
      </c>
      <c r="D963" s="2">
        <v>46044.61413194444</v>
      </c>
      <c r="E963" s="3">
        <v>46044.0</v>
      </c>
      <c r="F963" s="3" t="str">
        <f t="shared" si="1"/>
        <v>January-2026</v>
      </c>
      <c r="G963" s="1">
        <v>14.0</v>
      </c>
      <c r="H963" s="1">
        <v>31800.0</v>
      </c>
      <c r="I963" s="1">
        <v>6725.0</v>
      </c>
      <c r="J963" s="1">
        <v>6900.0</v>
      </c>
      <c r="K963" s="1">
        <v>18175.0</v>
      </c>
    </row>
    <row r="964">
      <c r="A964" s="1" t="s">
        <v>11</v>
      </c>
      <c r="B964" s="1" t="s">
        <v>974</v>
      </c>
      <c r="C964" s="1" t="s">
        <v>13</v>
      </c>
      <c r="D964" s="2">
        <v>46044.66458333333</v>
      </c>
      <c r="E964" s="3">
        <v>46044.0</v>
      </c>
      <c r="F964" s="3" t="str">
        <f t="shared" si="1"/>
        <v>January-2026</v>
      </c>
      <c r="G964" s="1">
        <v>15.0</v>
      </c>
      <c r="H964" s="1">
        <v>45200.0</v>
      </c>
      <c r="I964" s="1">
        <v>9463.0</v>
      </c>
      <c r="J964" s="1">
        <v>10350.0</v>
      </c>
      <c r="K964" s="1">
        <v>25387.0</v>
      </c>
    </row>
    <row r="965">
      <c r="A965" s="1" t="s">
        <v>11</v>
      </c>
      <c r="B965" s="1" t="s">
        <v>975</v>
      </c>
      <c r="C965" s="1" t="s">
        <v>13</v>
      </c>
      <c r="D965" s="2">
        <v>46044.85607638889</v>
      </c>
      <c r="E965" s="3">
        <v>46044.0</v>
      </c>
      <c r="F965" s="3" t="str">
        <f t="shared" si="1"/>
        <v>January-2026</v>
      </c>
      <c r="G965" s="1">
        <v>20.0</v>
      </c>
      <c r="H965" s="1">
        <v>36800.0</v>
      </c>
      <c r="I965" s="1">
        <v>7397.0</v>
      </c>
      <c r="J965" s="1">
        <v>7213.0</v>
      </c>
      <c r="K965" s="1">
        <v>22190.0</v>
      </c>
    </row>
    <row r="966">
      <c r="A966" s="1" t="s">
        <v>11</v>
      </c>
      <c r="B966" s="1" t="s">
        <v>976</v>
      </c>
      <c r="C966" s="1" t="s">
        <v>13</v>
      </c>
      <c r="D966" s="2">
        <v>46044.86556712963</v>
      </c>
      <c r="E966" s="3">
        <v>46044.0</v>
      </c>
      <c r="F966" s="3" t="str">
        <f t="shared" si="1"/>
        <v>January-2026</v>
      </c>
      <c r="G966" s="1">
        <v>20.0</v>
      </c>
      <c r="H966" s="1">
        <v>41800.0</v>
      </c>
      <c r="I966" s="1">
        <v>8613.0</v>
      </c>
      <c r="J966" s="1">
        <v>10350.0</v>
      </c>
      <c r="K966" s="1">
        <v>22837.0</v>
      </c>
    </row>
    <row r="967">
      <c r="A967" s="1" t="s">
        <v>11</v>
      </c>
      <c r="B967" s="1" t="s">
        <v>977</v>
      </c>
      <c r="C967" s="1" t="s">
        <v>13</v>
      </c>
      <c r="D967" s="2">
        <v>46044.87605324074</v>
      </c>
      <c r="E967" s="3">
        <v>46044.0</v>
      </c>
      <c r="F967" s="3" t="str">
        <f t="shared" si="1"/>
        <v>January-2026</v>
      </c>
      <c r="G967" s="1">
        <v>21.0</v>
      </c>
      <c r="H967" s="1">
        <v>15900.0</v>
      </c>
      <c r="I967" s="1">
        <v>3975.0</v>
      </c>
      <c r="J967" s="1">
        <v>0.0</v>
      </c>
      <c r="K967" s="1">
        <v>11925.0</v>
      </c>
    </row>
    <row r="968">
      <c r="A968" s="1" t="s">
        <v>11</v>
      </c>
      <c r="B968" s="1" t="s">
        <v>978</v>
      </c>
      <c r="C968" s="1" t="s">
        <v>13</v>
      </c>
      <c r="D968" s="2">
        <v>46044.87975694444</v>
      </c>
      <c r="E968" s="3">
        <v>46044.0</v>
      </c>
      <c r="F968" s="3" t="str">
        <f t="shared" si="1"/>
        <v>January-2026</v>
      </c>
      <c r="G968" s="1">
        <v>21.0</v>
      </c>
      <c r="H968" s="1">
        <v>30700.0</v>
      </c>
      <c r="I968" s="1">
        <v>6171.0</v>
      </c>
      <c r="J968" s="1">
        <v>8018.0</v>
      </c>
      <c r="K968" s="1">
        <v>16511.0</v>
      </c>
    </row>
    <row r="969">
      <c r="A969" s="1" t="s">
        <v>11</v>
      </c>
      <c r="B969" s="1" t="s">
        <v>979</v>
      </c>
      <c r="C969" s="1" t="s">
        <v>13</v>
      </c>
      <c r="D969" s="2">
        <v>46044.88087962963</v>
      </c>
      <c r="E969" s="3">
        <v>46044.0</v>
      </c>
      <c r="F969" s="3" t="str">
        <f t="shared" si="1"/>
        <v>January-2026</v>
      </c>
      <c r="G969" s="1">
        <v>21.0</v>
      </c>
      <c r="H969" s="1">
        <v>73000.0</v>
      </c>
      <c r="I969" s="1">
        <v>13943.0</v>
      </c>
      <c r="J969" s="1">
        <v>21228.0</v>
      </c>
      <c r="K969" s="1">
        <v>37829.0</v>
      </c>
    </row>
    <row r="970">
      <c r="A970" s="1" t="s">
        <v>11</v>
      </c>
      <c r="B970" s="1" t="s">
        <v>980</v>
      </c>
      <c r="C970" s="1" t="s">
        <v>13</v>
      </c>
      <c r="D970" s="2">
        <v>46044.88667824074</v>
      </c>
      <c r="E970" s="3">
        <v>46044.0</v>
      </c>
      <c r="F970" s="3" t="str">
        <f t="shared" si="1"/>
        <v>January-2026</v>
      </c>
      <c r="G970" s="1">
        <v>21.0</v>
      </c>
      <c r="H970" s="1">
        <v>34700.0</v>
      </c>
      <c r="I970" s="1">
        <v>6348.0</v>
      </c>
      <c r="J970" s="1">
        <v>11310.0</v>
      </c>
      <c r="K970" s="1">
        <v>17042.0</v>
      </c>
    </row>
    <row r="971">
      <c r="A971" s="1" t="s">
        <v>11</v>
      </c>
      <c r="B971" s="1" t="s">
        <v>981</v>
      </c>
      <c r="C971" s="1" t="s">
        <v>13</v>
      </c>
      <c r="D971" s="2">
        <v>46044.901504629626</v>
      </c>
      <c r="E971" s="3">
        <v>46044.0</v>
      </c>
      <c r="F971" s="3" t="str">
        <f t="shared" si="1"/>
        <v>January-2026</v>
      </c>
      <c r="G971" s="1">
        <v>21.0</v>
      </c>
      <c r="H971" s="1">
        <v>36800.0</v>
      </c>
      <c r="I971" s="1">
        <v>7397.0</v>
      </c>
      <c r="J971" s="1">
        <v>9213.0</v>
      </c>
      <c r="K971" s="1">
        <v>20190.0</v>
      </c>
    </row>
    <row r="972">
      <c r="A972" s="1" t="s">
        <v>11</v>
      </c>
      <c r="B972" s="1" t="s">
        <v>982</v>
      </c>
      <c r="C972" s="1" t="s">
        <v>13</v>
      </c>
      <c r="D972" s="2">
        <v>46044.93883101852</v>
      </c>
      <c r="E972" s="3">
        <v>46044.0</v>
      </c>
      <c r="F972" s="3" t="str">
        <f t="shared" si="1"/>
        <v>January-2026</v>
      </c>
      <c r="G972" s="1">
        <v>22.0</v>
      </c>
      <c r="H972" s="1">
        <v>24800.0</v>
      </c>
      <c r="I972" s="1">
        <v>4975.0</v>
      </c>
      <c r="J972" s="1">
        <v>4900.0</v>
      </c>
      <c r="K972" s="1">
        <v>14925.0</v>
      </c>
    </row>
    <row r="973">
      <c r="A973" s="1" t="s">
        <v>11</v>
      </c>
      <c r="B973" s="1" t="s">
        <v>983</v>
      </c>
      <c r="C973" s="1" t="s">
        <v>13</v>
      </c>
      <c r="D973" s="2">
        <v>46044.94158564815</v>
      </c>
      <c r="E973" s="3">
        <v>46044.0</v>
      </c>
      <c r="F973" s="3" t="str">
        <f t="shared" si="1"/>
        <v>January-2026</v>
      </c>
      <c r="G973" s="1">
        <v>22.0</v>
      </c>
      <c r="H973" s="1">
        <v>15900.0</v>
      </c>
      <c r="I973" s="1">
        <v>3001.0</v>
      </c>
      <c r="J973" s="1">
        <v>3896.0</v>
      </c>
      <c r="K973" s="1">
        <v>9003.0</v>
      </c>
    </row>
    <row r="974">
      <c r="A974" s="1" t="s">
        <v>11</v>
      </c>
      <c r="B974" s="1" t="s">
        <v>984</v>
      </c>
      <c r="C974" s="1" t="s">
        <v>13</v>
      </c>
      <c r="D974" s="2">
        <v>46045.4765625</v>
      </c>
      <c r="E974" s="3">
        <v>46045.0</v>
      </c>
      <c r="F974" s="3" t="str">
        <f t="shared" si="1"/>
        <v>January-2026</v>
      </c>
      <c r="G974" s="1">
        <v>11.0</v>
      </c>
      <c r="H974" s="1">
        <v>20900.0</v>
      </c>
      <c r="I974" s="1">
        <v>4000.0</v>
      </c>
      <c r="J974" s="1">
        <v>4900.0</v>
      </c>
      <c r="K974" s="1">
        <v>12000.0</v>
      </c>
    </row>
    <row r="975">
      <c r="A975" s="1" t="s">
        <v>11</v>
      </c>
      <c r="B975" s="1" t="s">
        <v>985</v>
      </c>
      <c r="C975" s="1" t="s">
        <v>13</v>
      </c>
      <c r="D975" s="2">
        <v>46045.51993055556</v>
      </c>
      <c r="E975" s="3">
        <v>46045.0</v>
      </c>
      <c r="F975" s="3" t="str">
        <f t="shared" si="1"/>
        <v>January-2026</v>
      </c>
      <c r="G975" s="1">
        <v>12.0</v>
      </c>
      <c r="H975" s="1">
        <v>20900.0</v>
      </c>
      <c r="I975" s="1">
        <v>4000.0</v>
      </c>
      <c r="J975" s="1">
        <v>4900.0</v>
      </c>
      <c r="K975" s="1">
        <v>12000.0</v>
      </c>
    </row>
    <row r="976">
      <c r="A976" s="1" t="s">
        <v>11</v>
      </c>
      <c r="B976" s="1" t="s">
        <v>986</v>
      </c>
      <c r="C976" s="1" t="s">
        <v>13</v>
      </c>
      <c r="D976" s="2">
        <v>46045.55347222222</v>
      </c>
      <c r="E976" s="3">
        <v>46045.0</v>
      </c>
      <c r="F976" s="3" t="str">
        <f t="shared" si="1"/>
        <v>January-2026</v>
      </c>
      <c r="G976" s="1">
        <v>13.0</v>
      </c>
      <c r="H976" s="1">
        <v>37600.0</v>
      </c>
      <c r="I976" s="1">
        <v>7563.0</v>
      </c>
      <c r="J976" s="1">
        <v>9350.0</v>
      </c>
      <c r="K976" s="1">
        <v>20687.0</v>
      </c>
    </row>
    <row r="977">
      <c r="A977" s="1" t="s">
        <v>11</v>
      </c>
      <c r="B977" s="1" t="s">
        <v>987</v>
      </c>
      <c r="C977" s="1" t="s">
        <v>13</v>
      </c>
      <c r="D977" s="2">
        <v>46045.581875</v>
      </c>
      <c r="E977" s="3">
        <v>46045.0</v>
      </c>
      <c r="F977" s="3" t="str">
        <f t="shared" si="1"/>
        <v>January-2026</v>
      </c>
      <c r="G977" s="1">
        <v>13.0</v>
      </c>
      <c r="H977" s="1">
        <v>34700.0</v>
      </c>
      <c r="I977" s="1">
        <v>7400.0</v>
      </c>
      <c r="J977" s="1">
        <v>7101.0</v>
      </c>
      <c r="K977" s="1">
        <v>20199.0</v>
      </c>
    </row>
    <row r="978">
      <c r="A978" s="1" t="s">
        <v>11</v>
      </c>
      <c r="B978" s="1" t="s">
        <v>988</v>
      </c>
      <c r="C978" s="1" t="s">
        <v>13</v>
      </c>
      <c r="D978" s="2">
        <v>46045.69037037037</v>
      </c>
      <c r="E978" s="3">
        <v>46045.0</v>
      </c>
      <c r="F978" s="3" t="str">
        <f t="shared" si="1"/>
        <v>January-2026</v>
      </c>
      <c r="G978" s="1">
        <v>16.0</v>
      </c>
      <c r="H978" s="1">
        <v>26500.0</v>
      </c>
      <c r="I978" s="1">
        <v>5002.0</v>
      </c>
      <c r="J978" s="1">
        <v>6493.0</v>
      </c>
      <c r="K978" s="1">
        <v>15005.0</v>
      </c>
    </row>
    <row r="979">
      <c r="A979" s="1" t="s">
        <v>11</v>
      </c>
      <c r="B979" s="1" t="s">
        <v>989</v>
      </c>
      <c r="C979" s="1" t="s">
        <v>13</v>
      </c>
      <c r="D979" s="2">
        <v>46045.76173611111</v>
      </c>
      <c r="E979" s="3">
        <v>46045.0</v>
      </c>
      <c r="F979" s="3" t="str">
        <f t="shared" si="1"/>
        <v>January-2026</v>
      </c>
      <c r="G979" s="1">
        <v>18.0</v>
      </c>
      <c r="H979" s="1">
        <v>20900.0</v>
      </c>
      <c r="I979" s="1">
        <v>4000.0</v>
      </c>
      <c r="J979" s="1">
        <v>4900.0</v>
      </c>
      <c r="K979" s="1">
        <v>12000.0</v>
      </c>
    </row>
    <row r="980">
      <c r="A980" s="1" t="s">
        <v>11</v>
      </c>
      <c r="B980" s="1" t="s">
        <v>990</v>
      </c>
      <c r="C980" s="1" t="s">
        <v>13</v>
      </c>
      <c r="D980" s="2">
        <v>46045.76980324074</v>
      </c>
      <c r="E980" s="3">
        <v>46045.0</v>
      </c>
      <c r="F980" s="3" t="str">
        <f t="shared" si="1"/>
        <v>January-2026</v>
      </c>
      <c r="G980" s="1">
        <v>18.0</v>
      </c>
      <c r="H980" s="1">
        <v>25900.0</v>
      </c>
      <c r="I980" s="1">
        <v>5250.0</v>
      </c>
      <c r="J980" s="1">
        <v>4900.0</v>
      </c>
      <c r="K980" s="1">
        <v>15750.0</v>
      </c>
    </row>
    <row r="981">
      <c r="A981" s="1" t="s">
        <v>11</v>
      </c>
      <c r="B981" s="1" t="s">
        <v>991</v>
      </c>
      <c r="C981" s="1" t="s">
        <v>13</v>
      </c>
      <c r="D981" s="2">
        <v>46045.830462962964</v>
      </c>
      <c r="E981" s="3">
        <v>46045.0</v>
      </c>
      <c r="F981" s="3" t="str">
        <f t="shared" si="1"/>
        <v>January-2026</v>
      </c>
      <c r="G981" s="1">
        <v>19.0</v>
      </c>
      <c r="H981" s="1">
        <v>31600.0</v>
      </c>
      <c r="I981" s="1">
        <v>7900.0</v>
      </c>
      <c r="J981" s="1">
        <v>2000.0</v>
      </c>
      <c r="K981" s="1">
        <v>21700.0</v>
      </c>
    </row>
    <row r="982">
      <c r="A982" s="1" t="s">
        <v>11</v>
      </c>
      <c r="B982" s="1" t="s">
        <v>992</v>
      </c>
      <c r="C982" s="1" t="s">
        <v>13</v>
      </c>
      <c r="D982" s="2">
        <v>46045.83876157407</v>
      </c>
      <c r="E982" s="3">
        <v>46045.0</v>
      </c>
      <c r="F982" s="3" t="str">
        <f t="shared" si="1"/>
        <v>January-2026</v>
      </c>
      <c r="G982" s="1">
        <v>20.0</v>
      </c>
      <c r="H982" s="1">
        <v>32300.0</v>
      </c>
      <c r="I982" s="1">
        <v>6493.0</v>
      </c>
      <c r="J982" s="1">
        <v>8331.0</v>
      </c>
      <c r="K982" s="1">
        <v>17476.0</v>
      </c>
    </row>
    <row r="983">
      <c r="A983" s="1" t="s">
        <v>11</v>
      </c>
      <c r="B983" s="1" t="s">
        <v>993</v>
      </c>
      <c r="C983" s="1" t="s">
        <v>13</v>
      </c>
      <c r="D983" s="2">
        <v>46045.8409837963</v>
      </c>
      <c r="E983" s="3">
        <v>46045.0</v>
      </c>
      <c r="F983" s="3" t="str">
        <f t="shared" si="1"/>
        <v>January-2026</v>
      </c>
      <c r="G983" s="1">
        <v>20.0</v>
      </c>
      <c r="H983" s="1">
        <v>31800.0</v>
      </c>
      <c r="I983" s="1">
        <v>6113.0</v>
      </c>
      <c r="J983" s="1">
        <v>7350.0</v>
      </c>
      <c r="K983" s="1">
        <v>18337.0</v>
      </c>
    </row>
    <row r="984">
      <c r="A984" s="1" t="s">
        <v>11</v>
      </c>
      <c r="B984" s="1" t="s">
        <v>994</v>
      </c>
      <c r="C984" s="1" t="s">
        <v>13</v>
      </c>
      <c r="D984" s="2">
        <v>46045.89020833333</v>
      </c>
      <c r="E984" s="3">
        <v>46045.0</v>
      </c>
      <c r="F984" s="3" t="str">
        <f t="shared" si="1"/>
        <v>January-2026</v>
      </c>
      <c r="G984" s="1">
        <v>21.0</v>
      </c>
      <c r="H984" s="1">
        <v>34400.0</v>
      </c>
      <c r="I984" s="1">
        <v>7252.0</v>
      </c>
      <c r="J984" s="1">
        <v>7394.0</v>
      </c>
      <c r="K984" s="1">
        <v>19754.0</v>
      </c>
    </row>
    <row r="985">
      <c r="A985" s="1" t="s">
        <v>11</v>
      </c>
      <c r="B985" s="1" t="s">
        <v>995</v>
      </c>
      <c r="C985" s="1" t="s">
        <v>13</v>
      </c>
      <c r="D985" s="2">
        <v>46045.90130787037</v>
      </c>
      <c r="E985" s="3">
        <v>46045.0</v>
      </c>
      <c r="F985" s="3" t="str">
        <f t="shared" si="1"/>
        <v>January-2026</v>
      </c>
      <c r="G985" s="1">
        <v>21.0</v>
      </c>
      <c r="H985" s="1">
        <v>30700.0</v>
      </c>
      <c r="I985" s="1">
        <v>6450.0</v>
      </c>
      <c r="J985" s="1">
        <v>6900.0</v>
      </c>
      <c r="K985" s="1">
        <v>17350.0</v>
      </c>
    </row>
    <row r="986">
      <c r="A986" s="1" t="s">
        <v>11</v>
      </c>
      <c r="B986" s="1" t="s">
        <v>996</v>
      </c>
      <c r="C986" s="1" t="s">
        <v>13</v>
      </c>
      <c r="D986" s="2">
        <v>46045.91680555556</v>
      </c>
      <c r="E986" s="3">
        <v>46045.0</v>
      </c>
      <c r="F986" s="3" t="str">
        <f t="shared" si="1"/>
        <v>January-2026</v>
      </c>
      <c r="G986" s="1">
        <v>22.0</v>
      </c>
      <c r="H986" s="1">
        <v>42300.0</v>
      </c>
      <c r="I986" s="1">
        <v>8248.0</v>
      </c>
      <c r="J986" s="1">
        <v>12310.0</v>
      </c>
      <c r="K986" s="1">
        <v>21742.0</v>
      </c>
    </row>
    <row r="987">
      <c r="A987" s="1" t="s">
        <v>11</v>
      </c>
      <c r="B987" s="1" t="s">
        <v>997</v>
      </c>
      <c r="C987" s="1" t="s">
        <v>13</v>
      </c>
      <c r="D987" s="2">
        <v>46045.94306712963</v>
      </c>
      <c r="E987" s="3">
        <v>46045.0</v>
      </c>
      <c r="F987" s="3" t="str">
        <f t="shared" si="1"/>
        <v>January-2026</v>
      </c>
      <c r="G987" s="1">
        <v>22.0</v>
      </c>
      <c r="H987" s="1">
        <v>30700.0</v>
      </c>
      <c r="I987" s="1">
        <v>6450.0</v>
      </c>
      <c r="J987" s="1">
        <v>6900.0</v>
      </c>
      <c r="K987" s="1">
        <v>17350.0</v>
      </c>
    </row>
    <row r="988">
      <c r="A988" s="1" t="s">
        <v>11</v>
      </c>
      <c r="B988" s="1" t="s">
        <v>998</v>
      </c>
      <c r="C988" s="1" t="s">
        <v>13</v>
      </c>
      <c r="D988" s="2">
        <v>46046.757939814815</v>
      </c>
      <c r="E988" s="3">
        <v>46046.0</v>
      </c>
      <c r="F988" s="3" t="str">
        <f t="shared" si="1"/>
        <v>January-2026</v>
      </c>
      <c r="G988" s="1">
        <v>18.0</v>
      </c>
      <c r="H988" s="1">
        <v>32400.0</v>
      </c>
      <c r="I988" s="1">
        <v>6513.0</v>
      </c>
      <c r="J988" s="1">
        <v>8351.0</v>
      </c>
      <c r="K988" s="1">
        <v>17536.0</v>
      </c>
    </row>
    <row r="989">
      <c r="A989" s="1" t="s">
        <v>11</v>
      </c>
      <c r="B989" s="1" t="s">
        <v>999</v>
      </c>
      <c r="C989" s="1" t="s">
        <v>13</v>
      </c>
      <c r="D989" s="2">
        <v>46046.89797453704</v>
      </c>
      <c r="E989" s="3">
        <v>46046.0</v>
      </c>
      <c r="F989" s="3" t="str">
        <f t="shared" si="1"/>
        <v>January-2026</v>
      </c>
      <c r="G989" s="1">
        <v>21.0</v>
      </c>
      <c r="H989" s="1">
        <v>25900.0</v>
      </c>
      <c r="I989" s="1">
        <v>4889.0</v>
      </c>
      <c r="J989" s="1">
        <v>6346.0</v>
      </c>
      <c r="K989" s="1">
        <v>14665.0</v>
      </c>
    </row>
    <row r="990">
      <c r="A990" s="1" t="s">
        <v>11</v>
      </c>
      <c r="B990" s="1" t="s">
        <v>1000</v>
      </c>
      <c r="C990" s="1" t="s">
        <v>13</v>
      </c>
      <c r="D990" s="2">
        <v>46046.91784722222</v>
      </c>
      <c r="E990" s="3">
        <v>46046.0</v>
      </c>
      <c r="F990" s="3" t="str">
        <f t="shared" si="1"/>
        <v>January-2026</v>
      </c>
      <c r="G990" s="1">
        <v>22.0</v>
      </c>
      <c r="H990" s="1">
        <v>20900.0</v>
      </c>
      <c r="I990" s="1">
        <v>4000.0</v>
      </c>
      <c r="J990" s="1">
        <v>4900.0</v>
      </c>
      <c r="K990" s="1">
        <v>12000.0</v>
      </c>
    </row>
    <row r="991">
      <c r="A991" s="1" t="s">
        <v>11</v>
      </c>
      <c r="B991" s="1" t="s">
        <v>1001</v>
      </c>
      <c r="C991" s="1" t="s">
        <v>13</v>
      </c>
      <c r="D991" s="2">
        <v>46046.92153935185</v>
      </c>
      <c r="E991" s="3">
        <v>46046.0</v>
      </c>
      <c r="F991" s="3" t="str">
        <f t="shared" si="1"/>
        <v>January-2026</v>
      </c>
      <c r="G991" s="1">
        <v>22.0</v>
      </c>
      <c r="H991" s="1">
        <v>25900.0</v>
      </c>
      <c r="I991" s="1">
        <v>6475.0</v>
      </c>
      <c r="J991" s="1">
        <v>0.0</v>
      </c>
      <c r="K991" s="1">
        <v>19425.0</v>
      </c>
    </row>
    <row r="992">
      <c r="A992" s="1" t="s">
        <v>11</v>
      </c>
      <c r="B992" s="1" t="s">
        <v>1002</v>
      </c>
      <c r="C992" s="1" t="s">
        <v>13</v>
      </c>
      <c r="D992" s="2">
        <v>46046.9383912037</v>
      </c>
      <c r="E992" s="3">
        <v>46046.0</v>
      </c>
      <c r="F992" s="3" t="str">
        <f t="shared" si="1"/>
        <v>January-2026</v>
      </c>
      <c r="G992" s="1">
        <v>22.0</v>
      </c>
      <c r="H992" s="1">
        <v>41800.0</v>
      </c>
      <c r="I992" s="1">
        <v>8812.0</v>
      </c>
      <c r="J992" s="1">
        <v>9555.0</v>
      </c>
      <c r="K992" s="1">
        <v>23433.0</v>
      </c>
    </row>
    <row r="993">
      <c r="A993" s="1" t="s">
        <v>11</v>
      </c>
      <c r="B993" s="1" t="s">
        <v>1003</v>
      </c>
      <c r="C993" s="1" t="s">
        <v>13</v>
      </c>
      <c r="D993" s="2">
        <v>46046.95642361111</v>
      </c>
      <c r="E993" s="3">
        <v>46046.0</v>
      </c>
      <c r="F993" s="3" t="str">
        <f t="shared" si="1"/>
        <v>January-2026</v>
      </c>
      <c r="G993" s="1">
        <v>22.0</v>
      </c>
      <c r="H993" s="1">
        <v>18500.0</v>
      </c>
      <c r="I993" s="1">
        <v>3900.0</v>
      </c>
      <c r="J993" s="1">
        <v>2901.0</v>
      </c>
      <c r="K993" s="1">
        <v>11699.0</v>
      </c>
    </row>
    <row r="994">
      <c r="A994" s="1" t="s">
        <v>11</v>
      </c>
      <c r="B994" s="1" t="s">
        <v>1004</v>
      </c>
      <c r="C994" s="1" t="s">
        <v>13</v>
      </c>
      <c r="D994" s="2">
        <v>46047.83133101852</v>
      </c>
      <c r="E994" s="3">
        <v>46047.0</v>
      </c>
      <c r="F994" s="3" t="str">
        <f t="shared" si="1"/>
        <v>January-2026</v>
      </c>
      <c r="G994" s="1">
        <v>19.0</v>
      </c>
      <c r="H994" s="1">
        <v>49300.0</v>
      </c>
      <c r="I994" s="1">
        <v>9263.0</v>
      </c>
      <c r="J994" s="1">
        <v>15250.0</v>
      </c>
      <c r="K994" s="1">
        <v>24787.0</v>
      </c>
    </row>
    <row r="995">
      <c r="A995" s="1" t="s">
        <v>11</v>
      </c>
      <c r="B995" s="1" t="s">
        <v>1005</v>
      </c>
      <c r="C995" s="1" t="s">
        <v>13</v>
      </c>
      <c r="D995" s="2">
        <v>46047.83967592593</v>
      </c>
      <c r="E995" s="3">
        <v>46047.0</v>
      </c>
      <c r="F995" s="3" t="str">
        <f t="shared" si="1"/>
        <v>January-2026</v>
      </c>
      <c r="G995" s="1">
        <v>20.0</v>
      </c>
      <c r="H995" s="1">
        <v>31800.0</v>
      </c>
      <c r="I995" s="1">
        <v>5418.0</v>
      </c>
      <c r="J995" s="1">
        <v>12129.0</v>
      </c>
      <c r="K995" s="1">
        <v>14253.0</v>
      </c>
    </row>
    <row r="996">
      <c r="A996" s="1" t="s">
        <v>11</v>
      </c>
      <c r="B996" s="1" t="s">
        <v>1006</v>
      </c>
      <c r="C996" s="1" t="s">
        <v>13</v>
      </c>
      <c r="D996" s="2">
        <v>46047.85355324074</v>
      </c>
      <c r="E996" s="3">
        <v>46047.0</v>
      </c>
      <c r="F996" s="3" t="str">
        <f t="shared" si="1"/>
        <v>January-2026</v>
      </c>
      <c r="G996" s="1">
        <v>20.0</v>
      </c>
      <c r="H996" s="1">
        <v>30700.0</v>
      </c>
      <c r="I996" s="1">
        <v>5231.0</v>
      </c>
      <c r="J996" s="1">
        <v>11778.0</v>
      </c>
      <c r="K996" s="1">
        <v>13691.0</v>
      </c>
    </row>
    <row r="997">
      <c r="A997" s="1" t="s">
        <v>11</v>
      </c>
      <c r="B997" s="1" t="s">
        <v>1007</v>
      </c>
      <c r="C997" s="1" t="s">
        <v>13</v>
      </c>
      <c r="D997" s="2">
        <v>46047.88186342592</v>
      </c>
      <c r="E997" s="3">
        <v>46047.0</v>
      </c>
      <c r="F997" s="3" t="str">
        <f t="shared" si="1"/>
        <v>January-2026</v>
      </c>
      <c r="G997" s="1">
        <v>21.0</v>
      </c>
      <c r="H997" s="1">
        <v>20900.0</v>
      </c>
      <c r="I997" s="1">
        <v>4000.0</v>
      </c>
      <c r="J997" s="1">
        <v>4900.0</v>
      </c>
      <c r="K997" s="1">
        <v>12000.0</v>
      </c>
    </row>
    <row r="998">
      <c r="A998" s="1" t="s">
        <v>11</v>
      </c>
      <c r="B998" s="1" t="s">
        <v>1008</v>
      </c>
      <c r="C998" s="1" t="s">
        <v>13</v>
      </c>
      <c r="D998" s="2">
        <v>46047.89042824074</v>
      </c>
      <c r="E998" s="3">
        <v>46047.0</v>
      </c>
      <c r="F998" s="3" t="str">
        <f t="shared" si="1"/>
        <v>January-2026</v>
      </c>
      <c r="G998" s="1">
        <v>21.0</v>
      </c>
      <c r="H998" s="1">
        <v>37500.0</v>
      </c>
      <c r="I998" s="1">
        <v>6389.0</v>
      </c>
      <c r="J998" s="1">
        <v>13944.0</v>
      </c>
      <c r="K998" s="1">
        <v>17167.0</v>
      </c>
    </row>
    <row r="999">
      <c r="A999" s="1" t="s">
        <v>11</v>
      </c>
      <c r="B999" s="1" t="s">
        <v>1009</v>
      </c>
      <c r="C999" s="1" t="s">
        <v>13</v>
      </c>
      <c r="D999" s="2">
        <v>46047.89508101852</v>
      </c>
      <c r="E999" s="3">
        <v>46047.0</v>
      </c>
      <c r="F999" s="3" t="str">
        <f t="shared" si="1"/>
        <v>January-2026</v>
      </c>
      <c r="G999" s="1">
        <v>21.0</v>
      </c>
      <c r="H999" s="1">
        <v>30600.0</v>
      </c>
      <c r="I999" s="1">
        <v>5214.0</v>
      </c>
      <c r="J999" s="1">
        <v>11747.0</v>
      </c>
      <c r="K999" s="1">
        <v>13639.0</v>
      </c>
    </row>
    <row r="1000">
      <c r="A1000" s="1" t="s">
        <v>11</v>
      </c>
      <c r="B1000" s="1" t="s">
        <v>1010</v>
      </c>
      <c r="C1000" s="1" t="s">
        <v>13</v>
      </c>
      <c r="D1000" s="2">
        <v>46047.89971064815</v>
      </c>
      <c r="E1000" s="3">
        <v>46047.0</v>
      </c>
      <c r="F1000" s="3" t="str">
        <f t="shared" si="1"/>
        <v>January-2026</v>
      </c>
      <c r="G1000" s="1">
        <v>21.0</v>
      </c>
      <c r="H1000" s="1">
        <v>41800.0</v>
      </c>
      <c r="I1000" s="1">
        <v>7388.0</v>
      </c>
      <c r="J1000" s="1">
        <v>15250.0</v>
      </c>
      <c r="K1000" s="1">
        <v>19162.0</v>
      </c>
    </row>
    <row r="1001">
      <c r="A1001" s="1" t="s">
        <v>11</v>
      </c>
      <c r="B1001" s="1" t="s">
        <v>1011</v>
      </c>
      <c r="C1001" s="1" t="s">
        <v>13</v>
      </c>
      <c r="D1001" s="2">
        <v>46047.91137731481</v>
      </c>
      <c r="E1001" s="3">
        <v>46047.0</v>
      </c>
      <c r="F1001" s="3" t="str">
        <f t="shared" si="1"/>
        <v>January-2026</v>
      </c>
      <c r="G1001" s="1">
        <v>21.0</v>
      </c>
      <c r="H1001" s="1">
        <v>24800.0</v>
      </c>
      <c r="I1001" s="1">
        <v>4975.0</v>
      </c>
      <c r="J1001" s="1">
        <v>4900.0</v>
      </c>
      <c r="K1001" s="1">
        <v>14925.0</v>
      </c>
    </row>
    <row r="1002">
      <c r="A1002" s="1" t="s">
        <v>11</v>
      </c>
      <c r="B1002" s="1" t="s">
        <v>1012</v>
      </c>
      <c r="C1002" s="1" t="s">
        <v>13</v>
      </c>
      <c r="D1002" s="2">
        <v>46047.91916666667</v>
      </c>
      <c r="E1002" s="3">
        <v>46047.0</v>
      </c>
      <c r="F1002" s="3" t="str">
        <f t="shared" si="1"/>
        <v>January-2026</v>
      </c>
      <c r="G1002" s="1">
        <v>22.0</v>
      </c>
      <c r="H1002" s="1">
        <v>36300.0</v>
      </c>
      <c r="I1002" s="1">
        <v>7238.0</v>
      </c>
      <c r="J1002" s="1">
        <v>9350.0</v>
      </c>
      <c r="K1002" s="1">
        <v>19712.0</v>
      </c>
    </row>
    <row r="1003">
      <c r="A1003" s="1" t="s">
        <v>11</v>
      </c>
      <c r="B1003" s="1" t="s">
        <v>1013</v>
      </c>
      <c r="C1003" s="1" t="s">
        <v>13</v>
      </c>
      <c r="D1003" s="2">
        <v>46047.92994212963</v>
      </c>
      <c r="E1003" s="3">
        <v>46047.0</v>
      </c>
      <c r="F1003" s="3" t="str">
        <f t="shared" si="1"/>
        <v>January-2026</v>
      </c>
      <c r="G1003" s="1">
        <v>22.0</v>
      </c>
      <c r="H1003" s="1">
        <v>20900.0</v>
      </c>
      <c r="I1003" s="1">
        <v>4000.0</v>
      </c>
      <c r="J1003" s="1">
        <v>4900.0</v>
      </c>
      <c r="K1003" s="1">
        <v>12000.0</v>
      </c>
    </row>
    <row r="1004">
      <c r="A1004" s="1" t="s">
        <v>11</v>
      </c>
      <c r="B1004" s="1" t="s">
        <v>1014</v>
      </c>
      <c r="C1004" s="1" t="s">
        <v>13</v>
      </c>
      <c r="D1004" s="2">
        <v>46048.471504629626</v>
      </c>
      <c r="E1004" s="3">
        <v>46048.0</v>
      </c>
      <c r="F1004" s="3" t="str">
        <f t="shared" si="1"/>
        <v>January-2026</v>
      </c>
      <c r="G1004" s="1">
        <v>11.0</v>
      </c>
      <c r="H1004" s="1">
        <v>41800.0</v>
      </c>
      <c r="I1004" s="1">
        <v>7388.0</v>
      </c>
      <c r="J1004" s="1">
        <v>15250.0</v>
      </c>
      <c r="K1004" s="1">
        <v>19162.0</v>
      </c>
    </row>
    <row r="1005">
      <c r="A1005" s="1" t="s">
        <v>11</v>
      </c>
      <c r="B1005" s="1" t="s">
        <v>1015</v>
      </c>
      <c r="C1005" s="1" t="s">
        <v>13</v>
      </c>
      <c r="D1005" s="2">
        <v>46048.49726851852</v>
      </c>
      <c r="E1005" s="3">
        <v>46048.0</v>
      </c>
      <c r="F1005" s="3" t="str">
        <f t="shared" si="1"/>
        <v>January-2026</v>
      </c>
      <c r="G1005" s="1">
        <v>11.0</v>
      </c>
      <c r="H1005" s="1">
        <v>41800.0</v>
      </c>
      <c r="I1005" s="1">
        <v>7388.0</v>
      </c>
      <c r="J1005" s="1">
        <v>12250.0</v>
      </c>
      <c r="K1005" s="1">
        <v>22162.0</v>
      </c>
    </row>
    <row r="1006">
      <c r="A1006" s="1" t="s">
        <v>11</v>
      </c>
      <c r="B1006" s="1" t="s">
        <v>1016</v>
      </c>
      <c r="C1006" s="1" t="s">
        <v>13</v>
      </c>
      <c r="D1006" s="2">
        <v>46048.49888888889</v>
      </c>
      <c r="E1006" s="3">
        <v>46048.0</v>
      </c>
      <c r="F1006" s="3" t="str">
        <f t="shared" si="1"/>
        <v>January-2026</v>
      </c>
      <c r="G1006" s="1">
        <v>11.0</v>
      </c>
      <c r="H1006" s="1">
        <v>31800.0</v>
      </c>
      <c r="I1006" s="1">
        <v>5418.0</v>
      </c>
      <c r="J1006" s="1">
        <v>12129.0</v>
      </c>
      <c r="K1006" s="1">
        <v>14253.0</v>
      </c>
    </row>
    <row r="1007">
      <c r="A1007" s="1" t="s">
        <v>11</v>
      </c>
      <c r="B1007" s="1" t="s">
        <v>1017</v>
      </c>
      <c r="C1007" s="1" t="s">
        <v>13</v>
      </c>
      <c r="D1007" s="2">
        <v>46048.56216435185</v>
      </c>
      <c r="E1007" s="3">
        <v>46048.0</v>
      </c>
      <c r="F1007" s="3" t="str">
        <f t="shared" si="1"/>
        <v>January-2026</v>
      </c>
      <c r="G1007" s="1">
        <v>13.0</v>
      </c>
      <c r="H1007" s="1">
        <v>40800.0</v>
      </c>
      <c r="I1007" s="1">
        <v>7138.0</v>
      </c>
      <c r="J1007" s="1">
        <v>15250.0</v>
      </c>
      <c r="K1007" s="1">
        <v>18412.0</v>
      </c>
    </row>
    <row r="1008">
      <c r="A1008" s="1" t="s">
        <v>11</v>
      </c>
      <c r="B1008" s="1" t="s">
        <v>1018</v>
      </c>
      <c r="C1008" s="1" t="s">
        <v>13</v>
      </c>
      <c r="D1008" s="2">
        <v>46048.5919212963</v>
      </c>
      <c r="E1008" s="3">
        <v>46048.0</v>
      </c>
      <c r="F1008" s="3" t="str">
        <f t="shared" si="1"/>
        <v>January-2026</v>
      </c>
      <c r="G1008" s="1">
        <v>14.0</v>
      </c>
      <c r="H1008" s="1">
        <v>26900.0</v>
      </c>
      <c r="I1008" s="1">
        <v>5500.0</v>
      </c>
      <c r="J1008" s="1">
        <v>4900.0</v>
      </c>
      <c r="K1008" s="1">
        <v>16500.0</v>
      </c>
    </row>
    <row r="1009">
      <c r="A1009" s="1" t="s">
        <v>11</v>
      </c>
      <c r="B1009" s="1" t="s">
        <v>1019</v>
      </c>
      <c r="C1009" s="1" t="s">
        <v>13</v>
      </c>
      <c r="D1009" s="2">
        <v>46048.632881944446</v>
      </c>
      <c r="E1009" s="3">
        <v>46048.0</v>
      </c>
      <c r="F1009" s="3" t="str">
        <f t="shared" si="1"/>
        <v>January-2026</v>
      </c>
      <c r="G1009" s="1">
        <v>15.0</v>
      </c>
      <c r="H1009" s="1">
        <v>37000.0</v>
      </c>
      <c r="I1009" s="1">
        <v>6304.0</v>
      </c>
      <c r="J1009" s="1">
        <v>13785.0</v>
      </c>
      <c r="K1009" s="1">
        <v>16911.0</v>
      </c>
    </row>
    <row r="1010">
      <c r="A1010" s="1" t="s">
        <v>11</v>
      </c>
      <c r="B1010" s="1" t="s">
        <v>1020</v>
      </c>
      <c r="C1010" s="1" t="s">
        <v>13</v>
      </c>
      <c r="D1010" s="2">
        <v>46048.662673611114</v>
      </c>
      <c r="E1010" s="3">
        <v>46048.0</v>
      </c>
      <c r="F1010" s="3" t="str">
        <f t="shared" si="1"/>
        <v>January-2026</v>
      </c>
      <c r="G1010" s="1">
        <v>15.0</v>
      </c>
      <c r="H1010" s="1">
        <v>32800.0</v>
      </c>
      <c r="I1010" s="1">
        <v>5589.0</v>
      </c>
      <c r="J1010" s="1">
        <v>12447.0</v>
      </c>
      <c r="K1010" s="1">
        <v>14764.0</v>
      </c>
    </row>
    <row r="1011">
      <c r="A1011" s="1" t="s">
        <v>11</v>
      </c>
      <c r="B1011" s="1" t="s">
        <v>1021</v>
      </c>
      <c r="C1011" s="1" t="s">
        <v>13</v>
      </c>
      <c r="D1011" s="2">
        <v>46048.66788194444</v>
      </c>
      <c r="E1011" s="3">
        <v>46048.0</v>
      </c>
      <c r="F1011" s="3" t="str">
        <f t="shared" si="1"/>
        <v>January-2026</v>
      </c>
      <c r="G1011" s="1">
        <v>16.0</v>
      </c>
      <c r="H1011" s="1">
        <v>31400.0</v>
      </c>
      <c r="I1011" s="1">
        <v>5350.0</v>
      </c>
      <c r="J1011" s="1">
        <v>12001.0</v>
      </c>
      <c r="K1011" s="1">
        <v>14049.0</v>
      </c>
    </row>
    <row r="1012">
      <c r="A1012" s="1" t="s">
        <v>11</v>
      </c>
      <c r="B1012" s="1" t="s">
        <v>1022</v>
      </c>
      <c r="C1012" s="1" t="s">
        <v>13</v>
      </c>
      <c r="D1012" s="2">
        <v>46048.66873842593</v>
      </c>
      <c r="E1012" s="3">
        <v>46048.0</v>
      </c>
      <c r="F1012" s="3" t="str">
        <f t="shared" si="1"/>
        <v>January-2026</v>
      </c>
      <c r="G1012" s="1">
        <v>16.0</v>
      </c>
      <c r="H1012" s="1">
        <v>32800.0</v>
      </c>
      <c r="I1012" s="1">
        <v>5589.0</v>
      </c>
      <c r="J1012" s="1">
        <v>12447.0</v>
      </c>
      <c r="K1012" s="1">
        <v>14764.0</v>
      </c>
    </row>
    <row r="1013">
      <c r="A1013" s="1" t="s">
        <v>11</v>
      </c>
      <c r="B1013" s="1" t="s">
        <v>1023</v>
      </c>
      <c r="C1013" s="1" t="s">
        <v>13</v>
      </c>
      <c r="D1013" s="2">
        <v>46048.68346064815</v>
      </c>
      <c r="E1013" s="3">
        <v>46048.0</v>
      </c>
      <c r="F1013" s="3" t="str">
        <f t="shared" si="1"/>
        <v>January-2026</v>
      </c>
      <c r="G1013" s="1">
        <v>16.0</v>
      </c>
      <c r="H1013" s="1">
        <v>39400.0</v>
      </c>
      <c r="I1013" s="1">
        <v>6788.0</v>
      </c>
      <c r="J1013" s="1">
        <v>14250.0</v>
      </c>
      <c r="K1013" s="1">
        <v>18362.0</v>
      </c>
    </row>
    <row r="1014">
      <c r="A1014" s="1" t="s">
        <v>11</v>
      </c>
      <c r="B1014" s="1" t="s">
        <v>1024</v>
      </c>
      <c r="C1014" s="1" t="s">
        <v>13</v>
      </c>
      <c r="D1014" s="2">
        <v>46048.6934837963</v>
      </c>
      <c r="E1014" s="3">
        <v>46048.0</v>
      </c>
      <c r="F1014" s="3" t="str">
        <f t="shared" si="1"/>
        <v>January-2026</v>
      </c>
      <c r="G1014" s="1">
        <v>16.0</v>
      </c>
      <c r="H1014" s="1">
        <v>32800.0</v>
      </c>
      <c r="I1014" s="1">
        <v>5589.0</v>
      </c>
      <c r="J1014" s="1">
        <v>12447.0</v>
      </c>
      <c r="K1014" s="1">
        <v>14764.0</v>
      </c>
    </row>
    <row r="1015">
      <c r="A1015" s="1" t="s">
        <v>11</v>
      </c>
      <c r="B1015" s="1" t="s">
        <v>1025</v>
      </c>
      <c r="C1015" s="1" t="s">
        <v>13</v>
      </c>
      <c r="D1015" s="2">
        <v>46048.71894675926</v>
      </c>
      <c r="E1015" s="3">
        <v>46048.0</v>
      </c>
      <c r="F1015" s="3" t="str">
        <f t="shared" si="1"/>
        <v>January-2026</v>
      </c>
      <c r="G1015" s="1">
        <v>17.0</v>
      </c>
      <c r="H1015" s="1">
        <v>32800.0</v>
      </c>
      <c r="I1015" s="1">
        <v>5589.0</v>
      </c>
      <c r="J1015" s="1">
        <v>12447.0</v>
      </c>
      <c r="K1015" s="1">
        <v>14764.0</v>
      </c>
    </row>
    <row r="1016">
      <c r="A1016" s="1" t="s">
        <v>11</v>
      </c>
      <c r="B1016" s="1" t="s">
        <v>1026</v>
      </c>
      <c r="C1016" s="1" t="s">
        <v>13</v>
      </c>
      <c r="D1016" s="2">
        <v>46048.74491898148</v>
      </c>
      <c r="E1016" s="3">
        <v>46048.0</v>
      </c>
      <c r="F1016" s="3" t="str">
        <f t="shared" si="1"/>
        <v>January-2026</v>
      </c>
      <c r="G1016" s="1">
        <v>17.0</v>
      </c>
      <c r="H1016" s="1">
        <v>36700.0</v>
      </c>
      <c r="I1016" s="1">
        <v>6253.0</v>
      </c>
      <c r="J1016" s="1">
        <v>13689.0</v>
      </c>
      <c r="K1016" s="1">
        <v>16758.0</v>
      </c>
    </row>
    <row r="1017">
      <c r="A1017" s="1" t="s">
        <v>11</v>
      </c>
      <c r="B1017" s="1" t="s">
        <v>1027</v>
      </c>
      <c r="C1017" s="1" t="s">
        <v>13</v>
      </c>
      <c r="D1017" s="2">
        <v>46048.8171875</v>
      </c>
      <c r="E1017" s="3">
        <v>46048.0</v>
      </c>
      <c r="F1017" s="3" t="str">
        <f t="shared" si="1"/>
        <v>January-2026</v>
      </c>
      <c r="G1017" s="1">
        <v>19.0</v>
      </c>
      <c r="H1017" s="1">
        <v>31700.0</v>
      </c>
      <c r="I1017" s="1">
        <v>5401.0</v>
      </c>
      <c r="J1017" s="1">
        <v>12097.0</v>
      </c>
      <c r="K1017" s="1">
        <v>14202.0</v>
      </c>
    </row>
    <row r="1018">
      <c r="A1018" s="1" t="s">
        <v>11</v>
      </c>
      <c r="B1018" s="1" t="s">
        <v>1028</v>
      </c>
      <c r="C1018" s="1" t="s">
        <v>13</v>
      </c>
      <c r="D1018" s="2">
        <v>46048.831030092595</v>
      </c>
      <c r="E1018" s="3">
        <v>46048.0</v>
      </c>
      <c r="F1018" s="3" t="str">
        <f t="shared" si="1"/>
        <v>January-2026</v>
      </c>
      <c r="G1018" s="1">
        <v>19.0</v>
      </c>
      <c r="H1018" s="1">
        <v>26700.0</v>
      </c>
      <c r="I1018" s="1">
        <v>5450.0</v>
      </c>
      <c r="J1018" s="1">
        <v>4900.0</v>
      </c>
      <c r="K1018" s="1">
        <v>16350.0</v>
      </c>
    </row>
    <row r="1019">
      <c r="A1019" s="1" t="s">
        <v>11</v>
      </c>
      <c r="B1019" s="1" t="s">
        <v>1029</v>
      </c>
      <c r="C1019" s="1" t="s">
        <v>13</v>
      </c>
      <c r="D1019" s="2">
        <v>46048.832395833335</v>
      </c>
      <c r="E1019" s="3">
        <v>46048.0</v>
      </c>
      <c r="F1019" s="3" t="str">
        <f t="shared" si="1"/>
        <v>January-2026</v>
      </c>
      <c r="G1019" s="1">
        <v>19.0</v>
      </c>
      <c r="H1019" s="1">
        <v>40500.0</v>
      </c>
      <c r="I1019" s="1">
        <v>7063.0</v>
      </c>
      <c r="J1019" s="1">
        <v>15250.0</v>
      </c>
      <c r="K1019" s="1">
        <v>18187.0</v>
      </c>
    </row>
    <row r="1020">
      <c r="A1020" s="1" t="s">
        <v>11</v>
      </c>
      <c r="B1020" s="1" t="s">
        <v>1030</v>
      </c>
      <c r="C1020" s="1" t="s">
        <v>13</v>
      </c>
      <c r="D1020" s="2">
        <v>46048.845625</v>
      </c>
      <c r="E1020" s="3">
        <v>46048.0</v>
      </c>
      <c r="F1020" s="3" t="str">
        <f t="shared" si="1"/>
        <v>January-2026</v>
      </c>
      <c r="G1020" s="1">
        <v>20.0</v>
      </c>
      <c r="H1020" s="1">
        <v>32600.0</v>
      </c>
      <c r="I1020" s="1">
        <v>5554.0</v>
      </c>
      <c r="J1020" s="1">
        <v>12384.0</v>
      </c>
      <c r="K1020" s="1">
        <v>14662.0</v>
      </c>
    </row>
    <row r="1021">
      <c r="A1021" s="1" t="s">
        <v>11</v>
      </c>
      <c r="B1021" s="1" t="s">
        <v>1031</v>
      </c>
      <c r="C1021" s="1" t="s">
        <v>13</v>
      </c>
      <c r="D1021" s="2">
        <v>46048.90445601852</v>
      </c>
      <c r="E1021" s="3">
        <v>46048.0</v>
      </c>
      <c r="F1021" s="3" t="str">
        <f t="shared" si="1"/>
        <v>January-2026</v>
      </c>
      <c r="G1021" s="1">
        <v>21.0</v>
      </c>
      <c r="H1021" s="1">
        <v>40900.0</v>
      </c>
      <c r="I1021" s="1">
        <v>7163.0</v>
      </c>
      <c r="J1021" s="1">
        <v>15250.0</v>
      </c>
      <c r="K1021" s="1">
        <v>18487.0</v>
      </c>
    </row>
    <row r="1022">
      <c r="A1022" s="1" t="s">
        <v>11</v>
      </c>
      <c r="B1022" s="1" t="s">
        <v>1032</v>
      </c>
      <c r="C1022" s="1" t="s">
        <v>13</v>
      </c>
      <c r="D1022" s="2">
        <v>46048.90762731482</v>
      </c>
      <c r="E1022" s="3">
        <v>46048.0</v>
      </c>
      <c r="F1022" s="3" t="str">
        <f t="shared" si="1"/>
        <v>January-2026</v>
      </c>
      <c r="G1022" s="1">
        <v>21.0</v>
      </c>
      <c r="H1022" s="1">
        <v>32800.0</v>
      </c>
      <c r="I1022" s="1">
        <v>6593.0</v>
      </c>
      <c r="J1022" s="1">
        <v>8429.0</v>
      </c>
      <c r="K1022" s="1">
        <v>17778.0</v>
      </c>
    </row>
    <row r="1023">
      <c r="A1023" s="1" t="s">
        <v>11</v>
      </c>
      <c r="B1023" s="1" t="s">
        <v>1033</v>
      </c>
      <c r="C1023" s="1" t="s">
        <v>13</v>
      </c>
      <c r="D1023" s="2">
        <v>46048.91239583334</v>
      </c>
      <c r="E1023" s="3">
        <v>46048.0</v>
      </c>
      <c r="F1023" s="3" t="str">
        <f t="shared" si="1"/>
        <v>January-2026</v>
      </c>
      <c r="G1023" s="1">
        <v>21.0</v>
      </c>
      <c r="H1023" s="1">
        <v>21900.0</v>
      </c>
      <c r="I1023" s="1">
        <v>4134.0</v>
      </c>
      <c r="J1023" s="1">
        <v>5366.0</v>
      </c>
      <c r="K1023" s="1">
        <v>12400.0</v>
      </c>
    </row>
    <row r="1024">
      <c r="A1024" s="1" t="s">
        <v>11</v>
      </c>
      <c r="B1024" s="1" t="s">
        <v>1034</v>
      </c>
      <c r="C1024" s="1" t="s">
        <v>13</v>
      </c>
      <c r="D1024" s="2">
        <v>46048.915671296294</v>
      </c>
      <c r="E1024" s="3">
        <v>46048.0</v>
      </c>
      <c r="F1024" s="3" t="str">
        <f t="shared" si="1"/>
        <v>January-2026</v>
      </c>
      <c r="G1024" s="1">
        <v>21.0</v>
      </c>
      <c r="H1024" s="1">
        <v>33800.0</v>
      </c>
      <c r="I1024" s="1">
        <v>5759.0</v>
      </c>
      <c r="J1024" s="1">
        <v>12766.0</v>
      </c>
      <c r="K1024" s="1">
        <v>15275.0</v>
      </c>
    </row>
    <row r="1025">
      <c r="A1025" s="1" t="s">
        <v>11</v>
      </c>
      <c r="B1025" s="1" t="s">
        <v>1035</v>
      </c>
      <c r="C1025" s="1" t="s">
        <v>13</v>
      </c>
      <c r="D1025" s="2">
        <v>46048.93581018518</v>
      </c>
      <c r="E1025" s="3">
        <v>46048.0</v>
      </c>
      <c r="F1025" s="3" t="str">
        <f t="shared" si="1"/>
        <v>January-2026</v>
      </c>
      <c r="G1025" s="1">
        <v>22.0</v>
      </c>
      <c r="H1025" s="1">
        <v>45600.0</v>
      </c>
      <c r="I1025" s="1">
        <v>8338.0</v>
      </c>
      <c r="J1025" s="1">
        <v>15250.0</v>
      </c>
      <c r="K1025" s="1">
        <v>22012.0</v>
      </c>
    </row>
    <row r="1026">
      <c r="A1026" s="1" t="s">
        <v>11</v>
      </c>
      <c r="B1026" s="1" t="s">
        <v>1036</v>
      </c>
      <c r="C1026" s="1" t="s">
        <v>13</v>
      </c>
      <c r="D1026" s="2">
        <v>46049.49182870371</v>
      </c>
      <c r="E1026" s="3">
        <v>46049.0</v>
      </c>
      <c r="F1026" s="3" t="str">
        <f t="shared" si="1"/>
        <v>January-2026</v>
      </c>
      <c r="G1026" s="1">
        <v>11.0</v>
      </c>
      <c r="H1026" s="1">
        <v>45000.0</v>
      </c>
      <c r="I1026" s="1">
        <v>8188.0</v>
      </c>
      <c r="J1026" s="1">
        <v>15250.0</v>
      </c>
      <c r="K1026" s="1">
        <v>21562.0</v>
      </c>
    </row>
    <row r="1027">
      <c r="A1027" s="1" t="s">
        <v>11</v>
      </c>
      <c r="B1027" s="1" t="s">
        <v>1037</v>
      </c>
      <c r="C1027" s="1" t="s">
        <v>13</v>
      </c>
      <c r="D1027" s="2">
        <v>46049.5137962963</v>
      </c>
      <c r="E1027" s="3">
        <v>46049.0</v>
      </c>
      <c r="F1027" s="3" t="str">
        <f t="shared" si="1"/>
        <v>January-2026</v>
      </c>
      <c r="G1027" s="1">
        <v>12.0</v>
      </c>
      <c r="H1027" s="1">
        <v>46300.0</v>
      </c>
      <c r="I1027" s="1">
        <v>8513.0</v>
      </c>
      <c r="J1027" s="1">
        <v>15250.0</v>
      </c>
      <c r="K1027" s="1">
        <v>22537.0</v>
      </c>
    </row>
    <row r="1028">
      <c r="A1028" s="1" t="s">
        <v>11</v>
      </c>
      <c r="B1028" s="1" t="s">
        <v>1038</v>
      </c>
      <c r="C1028" s="1" t="s">
        <v>13</v>
      </c>
      <c r="D1028" s="2">
        <v>46049.55336805555</v>
      </c>
      <c r="E1028" s="3">
        <v>46049.0</v>
      </c>
      <c r="F1028" s="3" t="str">
        <f t="shared" si="1"/>
        <v>January-2026</v>
      </c>
      <c r="G1028" s="1">
        <v>13.0</v>
      </c>
      <c r="H1028" s="1">
        <v>38800.0</v>
      </c>
      <c r="I1028" s="1">
        <v>6638.0</v>
      </c>
      <c r="J1028" s="1">
        <v>14250.0</v>
      </c>
      <c r="K1028" s="1">
        <v>17912.0</v>
      </c>
    </row>
    <row r="1029">
      <c r="A1029" s="1" t="s">
        <v>11</v>
      </c>
      <c r="B1029" s="1" t="s">
        <v>1039</v>
      </c>
      <c r="C1029" s="1" t="s">
        <v>13</v>
      </c>
      <c r="D1029" s="2">
        <v>46049.57310185185</v>
      </c>
      <c r="E1029" s="3">
        <v>46049.0</v>
      </c>
      <c r="F1029" s="3" t="str">
        <f t="shared" si="1"/>
        <v>January-2026</v>
      </c>
      <c r="G1029" s="1">
        <v>13.0</v>
      </c>
      <c r="H1029" s="1">
        <v>21900.0</v>
      </c>
      <c r="I1029" s="1">
        <v>4250.0</v>
      </c>
      <c r="J1029" s="1">
        <v>4900.0</v>
      </c>
      <c r="K1029" s="1">
        <v>12750.0</v>
      </c>
    </row>
    <row r="1030">
      <c r="A1030" s="1" t="s">
        <v>11</v>
      </c>
      <c r="B1030" s="1" t="s">
        <v>1040</v>
      </c>
      <c r="C1030" s="1" t="s">
        <v>13</v>
      </c>
      <c r="D1030" s="2">
        <v>46049.59813657407</v>
      </c>
      <c r="E1030" s="3">
        <v>46049.0</v>
      </c>
      <c r="F1030" s="3" t="str">
        <f t="shared" si="1"/>
        <v>January-2026</v>
      </c>
      <c r="G1030" s="1">
        <v>14.0</v>
      </c>
      <c r="H1030" s="1">
        <v>46300.0</v>
      </c>
      <c r="I1030" s="1">
        <v>8513.0</v>
      </c>
      <c r="J1030" s="1">
        <v>15250.0</v>
      </c>
      <c r="K1030" s="1">
        <v>22537.0</v>
      </c>
    </row>
    <row r="1031">
      <c r="A1031" s="1" t="s">
        <v>11</v>
      </c>
      <c r="B1031" s="1" t="s">
        <v>1041</v>
      </c>
      <c r="C1031" s="1" t="s">
        <v>13</v>
      </c>
      <c r="D1031" s="2">
        <v>46049.607569444444</v>
      </c>
      <c r="E1031" s="3">
        <v>46049.0</v>
      </c>
      <c r="F1031" s="3" t="str">
        <f t="shared" si="1"/>
        <v>January-2026</v>
      </c>
      <c r="G1031" s="1">
        <v>14.0</v>
      </c>
      <c r="H1031" s="1">
        <v>32800.0</v>
      </c>
      <c r="I1031" s="1">
        <v>5589.0</v>
      </c>
      <c r="J1031" s="1">
        <v>12447.0</v>
      </c>
      <c r="K1031" s="1">
        <v>14764.0</v>
      </c>
    </row>
    <row r="1032">
      <c r="A1032" s="1" t="s">
        <v>11</v>
      </c>
      <c r="B1032" s="1" t="s">
        <v>1042</v>
      </c>
      <c r="C1032" s="1" t="s">
        <v>13</v>
      </c>
      <c r="D1032" s="2">
        <v>46049.63060185185</v>
      </c>
      <c r="E1032" s="3">
        <v>46049.0</v>
      </c>
      <c r="F1032" s="3" t="str">
        <f t="shared" si="1"/>
        <v>January-2026</v>
      </c>
      <c r="G1032" s="1">
        <v>15.0</v>
      </c>
      <c r="H1032" s="1">
        <v>21900.0</v>
      </c>
      <c r="I1032" s="1">
        <v>4268.0</v>
      </c>
      <c r="J1032" s="1">
        <v>4829.0</v>
      </c>
      <c r="K1032" s="1">
        <v>12803.0</v>
      </c>
    </row>
    <row r="1033">
      <c r="A1033" s="1" t="s">
        <v>11</v>
      </c>
      <c r="B1033" s="1" t="s">
        <v>1043</v>
      </c>
      <c r="C1033" s="1" t="s">
        <v>13</v>
      </c>
      <c r="D1033" s="2">
        <v>46049.66376157408</v>
      </c>
      <c r="E1033" s="3">
        <v>46049.0</v>
      </c>
      <c r="F1033" s="3" t="str">
        <f t="shared" si="1"/>
        <v>January-2026</v>
      </c>
      <c r="G1033" s="1">
        <v>15.0</v>
      </c>
      <c r="H1033" s="1">
        <v>38300.0</v>
      </c>
      <c r="I1033" s="1">
        <v>6526.0</v>
      </c>
      <c r="J1033" s="1">
        <v>14199.0</v>
      </c>
      <c r="K1033" s="1">
        <v>17575.0</v>
      </c>
    </row>
    <row r="1034">
      <c r="A1034" s="1" t="s">
        <v>11</v>
      </c>
      <c r="B1034" s="1" t="s">
        <v>1044</v>
      </c>
      <c r="C1034" s="1" t="s">
        <v>13</v>
      </c>
      <c r="D1034" s="2">
        <v>46049.678194444445</v>
      </c>
      <c r="E1034" s="3">
        <v>46049.0</v>
      </c>
      <c r="F1034" s="3" t="str">
        <f t="shared" si="1"/>
        <v>January-2026</v>
      </c>
      <c r="G1034" s="1">
        <v>16.0</v>
      </c>
      <c r="H1034" s="1">
        <v>41100.0</v>
      </c>
      <c r="I1034" s="1">
        <v>7213.0</v>
      </c>
      <c r="J1034" s="1">
        <v>15250.0</v>
      </c>
      <c r="K1034" s="1">
        <v>18637.0</v>
      </c>
    </row>
    <row r="1035">
      <c r="A1035" s="1" t="s">
        <v>11</v>
      </c>
      <c r="B1035" s="1" t="s">
        <v>1045</v>
      </c>
      <c r="C1035" s="1" t="s">
        <v>13</v>
      </c>
      <c r="D1035" s="2">
        <v>46049.68315972222</v>
      </c>
      <c r="E1035" s="3">
        <v>46049.0</v>
      </c>
      <c r="F1035" s="3" t="str">
        <f t="shared" si="1"/>
        <v>January-2026</v>
      </c>
      <c r="G1035" s="1">
        <v>16.0</v>
      </c>
      <c r="H1035" s="1">
        <v>26900.0</v>
      </c>
      <c r="I1035" s="1">
        <v>5255.0</v>
      </c>
      <c r="J1035" s="1">
        <v>5880.0</v>
      </c>
      <c r="K1035" s="1">
        <v>15765.0</v>
      </c>
    </row>
    <row r="1036">
      <c r="A1036" s="1" t="s">
        <v>11</v>
      </c>
      <c r="B1036" s="1" t="s">
        <v>1046</v>
      </c>
      <c r="C1036" s="1" t="s">
        <v>13</v>
      </c>
      <c r="D1036" s="2">
        <v>46049.70657407407</v>
      </c>
      <c r="E1036" s="3">
        <v>46049.0</v>
      </c>
      <c r="F1036" s="3" t="str">
        <f t="shared" si="1"/>
        <v>January-2026</v>
      </c>
      <c r="G1036" s="1">
        <v>16.0</v>
      </c>
      <c r="H1036" s="1">
        <v>37800.0</v>
      </c>
      <c r="I1036" s="1">
        <v>6440.0</v>
      </c>
      <c r="J1036" s="1">
        <v>14040.0</v>
      </c>
      <c r="K1036" s="1">
        <v>17320.0</v>
      </c>
    </row>
    <row r="1037">
      <c r="A1037" s="1" t="s">
        <v>11</v>
      </c>
      <c r="B1037" s="1" t="s">
        <v>1047</v>
      </c>
      <c r="C1037" s="1" t="s">
        <v>13</v>
      </c>
      <c r="D1037" s="2">
        <v>46049.789814814816</v>
      </c>
      <c r="E1037" s="3">
        <v>46049.0</v>
      </c>
      <c r="F1037" s="3" t="str">
        <f t="shared" si="1"/>
        <v>January-2026</v>
      </c>
      <c r="G1037" s="1">
        <v>18.0</v>
      </c>
      <c r="H1037" s="1">
        <v>43800.0</v>
      </c>
      <c r="I1037" s="1">
        <v>7888.0</v>
      </c>
      <c r="J1037" s="1">
        <v>15250.0</v>
      </c>
      <c r="K1037" s="1">
        <v>20662.0</v>
      </c>
    </row>
    <row r="1038">
      <c r="A1038" s="1" t="s">
        <v>11</v>
      </c>
      <c r="B1038" s="1" t="s">
        <v>1048</v>
      </c>
      <c r="C1038" s="1" t="s">
        <v>13</v>
      </c>
      <c r="D1038" s="2">
        <v>46049.82304398148</v>
      </c>
      <c r="E1038" s="3">
        <v>46049.0</v>
      </c>
      <c r="F1038" s="3" t="str">
        <f t="shared" si="1"/>
        <v>January-2026</v>
      </c>
      <c r="G1038" s="1">
        <v>19.0</v>
      </c>
      <c r="H1038" s="1">
        <v>43800.0</v>
      </c>
      <c r="I1038" s="1">
        <v>7888.0</v>
      </c>
      <c r="J1038" s="1">
        <v>15250.0</v>
      </c>
      <c r="K1038" s="1">
        <v>20662.0</v>
      </c>
    </row>
    <row r="1039">
      <c r="A1039" s="1" t="s">
        <v>11</v>
      </c>
      <c r="B1039" s="1" t="s">
        <v>1049</v>
      </c>
      <c r="C1039" s="1" t="s">
        <v>13</v>
      </c>
      <c r="D1039" s="2">
        <v>46049.85623842593</v>
      </c>
      <c r="E1039" s="3">
        <v>46049.0</v>
      </c>
      <c r="F1039" s="3" t="str">
        <f t="shared" si="1"/>
        <v>January-2026</v>
      </c>
      <c r="G1039" s="1">
        <v>20.0</v>
      </c>
      <c r="H1039" s="1">
        <v>22400.0</v>
      </c>
      <c r="I1039" s="1">
        <v>4375.0</v>
      </c>
      <c r="J1039" s="1">
        <v>4900.0</v>
      </c>
      <c r="K1039" s="1">
        <v>13125.0</v>
      </c>
    </row>
    <row r="1040">
      <c r="A1040" s="1" t="s">
        <v>11</v>
      </c>
      <c r="B1040" s="1" t="s">
        <v>1050</v>
      </c>
      <c r="C1040" s="1" t="s">
        <v>13</v>
      </c>
      <c r="D1040" s="2">
        <v>46049.90354166667</v>
      </c>
      <c r="E1040" s="3">
        <v>46049.0</v>
      </c>
      <c r="F1040" s="3" t="str">
        <f t="shared" si="1"/>
        <v>January-2026</v>
      </c>
      <c r="G1040" s="1">
        <v>21.0</v>
      </c>
      <c r="H1040" s="1">
        <v>31700.0</v>
      </c>
      <c r="I1040" s="1">
        <v>5401.0</v>
      </c>
      <c r="J1040" s="1">
        <v>12097.0</v>
      </c>
      <c r="K1040" s="1">
        <v>14202.0</v>
      </c>
    </row>
    <row r="1041">
      <c r="A1041" s="1" t="s">
        <v>11</v>
      </c>
      <c r="B1041" s="1" t="s">
        <v>1051</v>
      </c>
      <c r="C1041" s="1" t="s">
        <v>13</v>
      </c>
      <c r="D1041" s="2">
        <v>46049.912407407406</v>
      </c>
      <c r="E1041" s="3">
        <v>46049.0</v>
      </c>
      <c r="F1041" s="3" t="str">
        <f t="shared" si="1"/>
        <v>January-2026</v>
      </c>
      <c r="G1041" s="1">
        <v>21.0</v>
      </c>
      <c r="H1041" s="1">
        <v>47200.0</v>
      </c>
      <c r="I1041" s="1">
        <v>8738.0</v>
      </c>
      <c r="J1041" s="1">
        <v>15250.0</v>
      </c>
      <c r="K1041" s="1">
        <v>23212.0</v>
      </c>
    </row>
    <row r="1042">
      <c r="A1042" s="1" t="s">
        <v>11</v>
      </c>
      <c r="B1042" s="1" t="s">
        <v>1052</v>
      </c>
      <c r="C1042" s="1" t="s">
        <v>13</v>
      </c>
      <c r="D1042" s="2">
        <v>46049.914143518516</v>
      </c>
      <c r="E1042" s="3">
        <v>46049.0</v>
      </c>
      <c r="F1042" s="3" t="str">
        <f t="shared" si="1"/>
        <v>January-2026</v>
      </c>
      <c r="G1042" s="1">
        <v>21.0</v>
      </c>
      <c r="H1042" s="1">
        <v>46900.0</v>
      </c>
      <c r="I1042" s="1">
        <v>8663.0</v>
      </c>
      <c r="J1042" s="1">
        <v>14250.0</v>
      </c>
      <c r="K1042" s="1">
        <v>23987.0</v>
      </c>
    </row>
    <row r="1043">
      <c r="A1043" s="1" t="s">
        <v>11</v>
      </c>
      <c r="B1043" s="1" t="s">
        <v>1053</v>
      </c>
      <c r="C1043" s="1" t="s">
        <v>13</v>
      </c>
      <c r="D1043" s="2">
        <v>46049.928611111114</v>
      </c>
      <c r="E1043" s="3">
        <v>46049.0</v>
      </c>
      <c r="F1043" s="3" t="str">
        <f t="shared" si="1"/>
        <v>January-2026</v>
      </c>
      <c r="G1043" s="1">
        <v>22.0</v>
      </c>
      <c r="H1043" s="1">
        <v>40600.0</v>
      </c>
      <c r="I1043" s="1">
        <v>7088.0</v>
      </c>
      <c r="J1043" s="1">
        <v>15250.0</v>
      </c>
      <c r="K1043" s="1">
        <v>18262.0</v>
      </c>
    </row>
    <row r="1044">
      <c r="A1044" s="1" t="s">
        <v>11</v>
      </c>
      <c r="B1044" s="1" t="s">
        <v>1054</v>
      </c>
      <c r="C1044" s="1" t="s">
        <v>13</v>
      </c>
      <c r="D1044" s="2">
        <v>46049.94215277778</v>
      </c>
      <c r="E1044" s="3">
        <v>46049.0</v>
      </c>
      <c r="F1044" s="3" t="str">
        <f t="shared" si="1"/>
        <v>January-2026</v>
      </c>
      <c r="G1044" s="1">
        <v>22.0</v>
      </c>
      <c r="H1044" s="1">
        <v>21900.0</v>
      </c>
      <c r="I1044" s="1">
        <v>4402.0</v>
      </c>
      <c r="J1044" s="1">
        <v>4293.0</v>
      </c>
      <c r="K1044" s="1">
        <v>13205.0</v>
      </c>
    </row>
    <row r="1045">
      <c r="A1045" s="1" t="s">
        <v>11</v>
      </c>
      <c r="B1045" s="1" t="s">
        <v>1055</v>
      </c>
      <c r="C1045" s="1" t="s">
        <v>13</v>
      </c>
      <c r="D1045" s="2">
        <v>46050.46412037037</v>
      </c>
      <c r="E1045" s="3">
        <v>46050.0</v>
      </c>
      <c r="F1045" s="3" t="str">
        <f t="shared" si="1"/>
        <v>January-2026</v>
      </c>
      <c r="G1045" s="1">
        <v>11.0</v>
      </c>
      <c r="H1045" s="1">
        <v>43800.0</v>
      </c>
      <c r="I1045" s="1">
        <v>9113.0</v>
      </c>
      <c r="J1045" s="1">
        <v>10350.0</v>
      </c>
      <c r="K1045" s="1">
        <v>24337.0</v>
      </c>
    </row>
    <row r="1046">
      <c r="A1046" s="1" t="s">
        <v>11</v>
      </c>
      <c r="B1046" s="1" t="s">
        <v>1056</v>
      </c>
      <c r="C1046" s="1" t="s">
        <v>13</v>
      </c>
      <c r="D1046" s="2">
        <v>46050.478125</v>
      </c>
      <c r="E1046" s="3">
        <v>46050.0</v>
      </c>
      <c r="F1046" s="3" t="str">
        <f t="shared" si="1"/>
        <v>January-2026</v>
      </c>
      <c r="G1046" s="1">
        <v>11.0</v>
      </c>
      <c r="H1046" s="1">
        <v>44400.0</v>
      </c>
      <c r="I1046" s="1">
        <v>9263.0</v>
      </c>
      <c r="J1046" s="1">
        <v>10350.0</v>
      </c>
      <c r="K1046" s="1">
        <v>24787.0</v>
      </c>
    </row>
    <row r="1047">
      <c r="A1047" s="1" t="s">
        <v>11</v>
      </c>
      <c r="B1047" s="1" t="s">
        <v>1057</v>
      </c>
      <c r="C1047" s="1" t="s">
        <v>13</v>
      </c>
      <c r="D1047" s="2">
        <v>46050.5571412037</v>
      </c>
      <c r="E1047" s="3">
        <v>46050.0</v>
      </c>
      <c r="F1047" s="3" t="str">
        <f t="shared" si="1"/>
        <v>January-2026</v>
      </c>
      <c r="G1047" s="1">
        <v>13.0</v>
      </c>
      <c r="H1047" s="1">
        <v>42600.0</v>
      </c>
      <c r="I1047" s="1">
        <v>8813.0</v>
      </c>
      <c r="J1047" s="1">
        <v>10350.0</v>
      </c>
      <c r="K1047" s="1">
        <v>23437.0</v>
      </c>
    </row>
    <row r="1048">
      <c r="A1048" s="1" t="s">
        <v>11</v>
      </c>
      <c r="B1048" s="1" t="s">
        <v>1058</v>
      </c>
      <c r="C1048" s="1" t="s">
        <v>13</v>
      </c>
      <c r="D1048" s="2">
        <v>46050.63114583334</v>
      </c>
      <c r="E1048" s="3">
        <v>46050.0</v>
      </c>
      <c r="F1048" s="3" t="str">
        <f t="shared" si="1"/>
        <v>January-2026</v>
      </c>
      <c r="G1048" s="1">
        <v>15.0</v>
      </c>
      <c r="H1048" s="1">
        <v>40400.0</v>
      </c>
      <c r="I1048" s="1">
        <v>8616.0</v>
      </c>
      <c r="J1048" s="1">
        <v>8939.0</v>
      </c>
      <c r="K1048" s="1">
        <v>22845.0</v>
      </c>
    </row>
    <row r="1049">
      <c r="A1049" s="1" t="s">
        <v>11</v>
      </c>
      <c r="B1049" s="1" t="s">
        <v>1059</v>
      </c>
      <c r="C1049" s="1" t="s">
        <v>13</v>
      </c>
      <c r="D1049" s="2">
        <v>46050.69615740741</v>
      </c>
      <c r="E1049" s="3">
        <v>46050.0</v>
      </c>
      <c r="F1049" s="3" t="str">
        <f t="shared" si="1"/>
        <v>January-2026</v>
      </c>
      <c r="G1049" s="1">
        <v>16.0</v>
      </c>
      <c r="H1049" s="1">
        <v>33800.0</v>
      </c>
      <c r="I1049" s="1">
        <v>6794.0</v>
      </c>
      <c r="J1049" s="1">
        <v>8625.0</v>
      </c>
      <c r="K1049" s="1">
        <v>18381.0</v>
      </c>
    </row>
    <row r="1050">
      <c r="A1050" s="1" t="s">
        <v>11</v>
      </c>
      <c r="B1050" s="1" t="s">
        <v>1060</v>
      </c>
      <c r="C1050" s="1" t="s">
        <v>13</v>
      </c>
      <c r="D1050" s="2">
        <v>46050.79387731481</v>
      </c>
      <c r="E1050" s="3">
        <v>46050.0</v>
      </c>
      <c r="F1050" s="3" t="str">
        <f t="shared" si="1"/>
        <v>January-2026</v>
      </c>
      <c r="G1050" s="1">
        <v>19.0</v>
      </c>
      <c r="H1050" s="1">
        <v>43800.0</v>
      </c>
      <c r="I1050" s="1">
        <v>9113.0</v>
      </c>
      <c r="J1050" s="1">
        <v>10350.0</v>
      </c>
      <c r="K1050" s="1">
        <v>24337.0</v>
      </c>
    </row>
    <row r="1051">
      <c r="A1051" s="1" t="s">
        <v>11</v>
      </c>
      <c r="B1051" s="1" t="s">
        <v>1061</v>
      </c>
      <c r="C1051" s="1" t="s">
        <v>13</v>
      </c>
      <c r="D1051" s="2">
        <v>46050.81452546296</v>
      </c>
      <c r="E1051" s="3">
        <v>46050.0</v>
      </c>
      <c r="F1051" s="3" t="str">
        <f t="shared" si="1"/>
        <v>January-2026</v>
      </c>
      <c r="G1051" s="1">
        <v>19.0</v>
      </c>
      <c r="H1051" s="1">
        <v>43800.0</v>
      </c>
      <c r="I1051" s="1">
        <v>10950.0</v>
      </c>
      <c r="J1051" s="1">
        <v>2000.0</v>
      </c>
      <c r="K1051" s="1">
        <v>30850.0</v>
      </c>
    </row>
    <row r="1052">
      <c r="A1052" s="1" t="s">
        <v>11</v>
      </c>
      <c r="B1052" s="1" t="s">
        <v>1062</v>
      </c>
      <c r="C1052" s="1" t="s">
        <v>13</v>
      </c>
      <c r="D1052" s="2">
        <v>46050.82136574074</v>
      </c>
      <c r="E1052" s="3">
        <v>46050.0</v>
      </c>
      <c r="F1052" s="3" t="str">
        <f t="shared" si="1"/>
        <v>January-2026</v>
      </c>
      <c r="G1052" s="1">
        <v>19.0</v>
      </c>
      <c r="H1052" s="1">
        <v>22400.0</v>
      </c>
      <c r="I1052" s="1">
        <v>4375.0</v>
      </c>
      <c r="J1052" s="1">
        <v>4900.0</v>
      </c>
      <c r="K1052" s="1">
        <v>13125.0</v>
      </c>
    </row>
    <row r="1053">
      <c r="A1053" s="1" t="s">
        <v>11</v>
      </c>
      <c r="B1053" s="1" t="s">
        <v>1063</v>
      </c>
      <c r="C1053" s="1" t="s">
        <v>13</v>
      </c>
      <c r="D1053" s="2">
        <v>46050.86283564815</v>
      </c>
      <c r="E1053" s="3">
        <v>46050.0</v>
      </c>
      <c r="F1053" s="3" t="str">
        <f t="shared" si="1"/>
        <v>January-2026</v>
      </c>
      <c r="G1053" s="1">
        <v>20.0</v>
      </c>
      <c r="H1053" s="1">
        <v>18800.0</v>
      </c>
      <c r="I1053" s="1">
        <v>3963.0</v>
      </c>
      <c r="J1053" s="1">
        <v>2948.0</v>
      </c>
      <c r="K1053" s="1">
        <v>11889.0</v>
      </c>
    </row>
    <row r="1054">
      <c r="A1054" s="1" t="s">
        <v>11</v>
      </c>
      <c r="B1054" s="1" t="s">
        <v>1064</v>
      </c>
      <c r="C1054" s="1" t="s">
        <v>13</v>
      </c>
      <c r="D1054" s="2">
        <v>46050.86740740741</v>
      </c>
      <c r="E1054" s="3">
        <v>46050.0</v>
      </c>
      <c r="F1054" s="3" t="str">
        <f t="shared" si="1"/>
        <v>January-2026</v>
      </c>
      <c r="G1054" s="1">
        <v>20.0</v>
      </c>
      <c r="H1054" s="1">
        <v>22400.0</v>
      </c>
      <c r="I1054" s="1">
        <v>4375.0</v>
      </c>
      <c r="J1054" s="1">
        <v>4900.0</v>
      </c>
      <c r="K1054" s="1">
        <v>13125.0</v>
      </c>
    </row>
    <row r="1055">
      <c r="A1055" s="1" t="s">
        <v>11</v>
      </c>
      <c r="B1055" s="1" t="s">
        <v>1065</v>
      </c>
      <c r="C1055" s="1" t="s">
        <v>13</v>
      </c>
      <c r="D1055" s="2">
        <v>46050.86892361111</v>
      </c>
      <c r="E1055" s="3">
        <v>46050.0</v>
      </c>
      <c r="F1055" s="3" t="str">
        <f t="shared" si="1"/>
        <v>January-2026</v>
      </c>
      <c r="G1055" s="1">
        <v>20.0</v>
      </c>
      <c r="H1055" s="1">
        <v>21900.0</v>
      </c>
      <c r="I1055" s="1">
        <v>4250.0</v>
      </c>
      <c r="J1055" s="1">
        <v>4900.0</v>
      </c>
      <c r="K1055" s="1">
        <v>12750.0</v>
      </c>
    </row>
    <row r="1056">
      <c r="A1056" s="1" t="s">
        <v>11</v>
      </c>
      <c r="B1056" s="1" t="s">
        <v>1066</v>
      </c>
      <c r="C1056" s="1" t="s">
        <v>13</v>
      </c>
      <c r="D1056" s="2">
        <v>46050.93409722222</v>
      </c>
      <c r="E1056" s="3">
        <v>46050.0</v>
      </c>
      <c r="F1056" s="3" t="str">
        <f t="shared" si="1"/>
        <v>January-2026</v>
      </c>
      <c r="G1056" s="1">
        <v>22.0</v>
      </c>
      <c r="H1056" s="1">
        <v>31700.0</v>
      </c>
      <c r="I1056" s="1">
        <v>6372.0</v>
      </c>
      <c r="J1056" s="1">
        <v>8214.0</v>
      </c>
      <c r="K1056" s="1">
        <v>17114.0</v>
      </c>
    </row>
    <row r="1057">
      <c r="A1057" s="1" t="s">
        <v>11</v>
      </c>
      <c r="B1057" s="1" t="s">
        <v>1067</v>
      </c>
      <c r="C1057" s="1" t="s">
        <v>13</v>
      </c>
      <c r="D1057" s="2">
        <v>46050.937997685185</v>
      </c>
      <c r="E1057" s="3">
        <v>46050.0</v>
      </c>
      <c r="F1057" s="3" t="str">
        <f t="shared" si="1"/>
        <v>January-2026</v>
      </c>
      <c r="G1057" s="1">
        <v>22.0</v>
      </c>
      <c r="H1057" s="1">
        <v>21900.0</v>
      </c>
      <c r="I1057" s="1">
        <v>4250.0</v>
      </c>
      <c r="J1057" s="1">
        <v>4900.0</v>
      </c>
      <c r="K1057" s="1">
        <v>12750.0</v>
      </c>
    </row>
    <row r="1058">
      <c r="A1058" s="1" t="s">
        <v>11</v>
      </c>
      <c r="B1058" s="1" t="s">
        <v>1068</v>
      </c>
      <c r="C1058" s="1" t="s">
        <v>13</v>
      </c>
      <c r="D1058" s="2">
        <v>46051.601585648146</v>
      </c>
      <c r="E1058" s="3">
        <v>46051.0</v>
      </c>
      <c r="F1058" s="3" t="str">
        <f t="shared" si="1"/>
        <v>January-2026</v>
      </c>
      <c r="G1058" s="1">
        <v>14.0</v>
      </c>
      <c r="H1058" s="1">
        <v>32300.0</v>
      </c>
      <c r="I1058" s="1">
        <v>6493.0</v>
      </c>
      <c r="J1058" s="1">
        <v>8331.0</v>
      </c>
      <c r="K1058" s="1">
        <v>17476.0</v>
      </c>
    </row>
    <row r="1059">
      <c r="A1059" s="1" t="s">
        <v>11</v>
      </c>
      <c r="B1059" s="1" t="s">
        <v>1069</v>
      </c>
      <c r="C1059" s="1" t="s">
        <v>13</v>
      </c>
      <c r="D1059" s="2">
        <v>46051.62824074074</v>
      </c>
      <c r="E1059" s="3">
        <v>46051.0</v>
      </c>
      <c r="F1059" s="3" t="str">
        <f t="shared" si="1"/>
        <v>January-2026</v>
      </c>
      <c r="G1059" s="1">
        <v>15.0</v>
      </c>
      <c r="H1059" s="1">
        <v>16900.0</v>
      </c>
      <c r="I1059" s="1">
        <v>4225.0</v>
      </c>
      <c r="J1059" s="1">
        <v>0.0</v>
      </c>
      <c r="K1059" s="1">
        <v>12675.0</v>
      </c>
    </row>
    <row r="1060">
      <c r="A1060" s="1" t="s">
        <v>11</v>
      </c>
      <c r="B1060" s="1" t="s">
        <v>1070</v>
      </c>
      <c r="C1060" s="1" t="s">
        <v>13</v>
      </c>
      <c r="D1060" s="2">
        <v>46051.65864583333</v>
      </c>
      <c r="E1060" s="3">
        <v>46051.0</v>
      </c>
      <c r="F1060" s="3" t="str">
        <f t="shared" si="1"/>
        <v>January-2026</v>
      </c>
      <c r="G1060" s="1">
        <v>15.0</v>
      </c>
      <c r="H1060" s="1">
        <v>20800.0</v>
      </c>
      <c r="I1060" s="1">
        <v>4181.0</v>
      </c>
      <c r="J1060" s="1">
        <v>4077.0</v>
      </c>
      <c r="K1060" s="1">
        <v>12542.0</v>
      </c>
    </row>
    <row r="1061">
      <c r="A1061" s="1" t="s">
        <v>11</v>
      </c>
      <c r="B1061" s="1" t="s">
        <v>1071</v>
      </c>
      <c r="C1061" s="1" t="s">
        <v>13</v>
      </c>
      <c r="D1061" s="2">
        <v>46051.780185185184</v>
      </c>
      <c r="E1061" s="3">
        <v>46051.0</v>
      </c>
      <c r="F1061" s="3" t="str">
        <f t="shared" si="1"/>
        <v>January-2026</v>
      </c>
      <c r="G1061" s="1">
        <v>18.0</v>
      </c>
      <c r="H1061" s="1">
        <v>31700.0</v>
      </c>
      <c r="I1061" s="1">
        <v>6372.0</v>
      </c>
      <c r="J1061" s="1">
        <v>8214.0</v>
      </c>
      <c r="K1061" s="1">
        <v>17114.0</v>
      </c>
    </row>
    <row r="1062">
      <c r="A1062" s="1" t="s">
        <v>11</v>
      </c>
      <c r="B1062" s="1" t="s">
        <v>1072</v>
      </c>
      <c r="C1062" s="1" t="s">
        <v>13</v>
      </c>
      <c r="D1062" s="2">
        <v>46051.800625</v>
      </c>
      <c r="E1062" s="3">
        <v>46051.0</v>
      </c>
      <c r="F1062" s="3" t="str">
        <f t="shared" si="1"/>
        <v>January-2026</v>
      </c>
      <c r="G1062" s="1">
        <v>19.0</v>
      </c>
      <c r="H1062" s="1">
        <v>51200.0</v>
      </c>
      <c r="I1062" s="1">
        <v>10157.0</v>
      </c>
      <c r="J1062" s="1">
        <v>13573.0</v>
      </c>
      <c r="K1062" s="1">
        <v>27470.0</v>
      </c>
    </row>
    <row r="1063">
      <c r="A1063" s="1" t="s">
        <v>11</v>
      </c>
      <c r="B1063" s="1" t="s">
        <v>1073</v>
      </c>
      <c r="C1063" s="1" t="s">
        <v>13</v>
      </c>
      <c r="D1063" s="2">
        <v>46051.80730324074</v>
      </c>
      <c r="E1063" s="3">
        <v>46051.0</v>
      </c>
      <c r="F1063" s="3" t="str">
        <f t="shared" si="1"/>
        <v>January-2026</v>
      </c>
      <c r="G1063" s="1">
        <v>19.0</v>
      </c>
      <c r="H1063" s="1">
        <v>21900.0</v>
      </c>
      <c r="I1063" s="1">
        <v>4402.0</v>
      </c>
      <c r="J1063" s="1">
        <v>4293.0</v>
      </c>
      <c r="K1063" s="1">
        <v>13205.0</v>
      </c>
    </row>
    <row r="1064">
      <c r="A1064" s="1" t="s">
        <v>11</v>
      </c>
      <c r="B1064" s="1" t="s">
        <v>1074</v>
      </c>
      <c r="C1064" s="1" t="s">
        <v>13</v>
      </c>
      <c r="D1064" s="2">
        <v>46051.93113425926</v>
      </c>
      <c r="E1064" s="3">
        <v>46051.0</v>
      </c>
      <c r="F1064" s="3" t="str">
        <f t="shared" si="1"/>
        <v>January-2026</v>
      </c>
      <c r="G1064" s="1">
        <v>22.0</v>
      </c>
      <c r="H1064" s="1">
        <v>17500.0</v>
      </c>
      <c r="I1064" s="1">
        <v>3303.0</v>
      </c>
      <c r="J1064" s="1">
        <v>4288.0</v>
      </c>
      <c r="K1064" s="1">
        <v>9909.0</v>
      </c>
    </row>
    <row r="1065">
      <c r="A1065" s="1" t="s">
        <v>11</v>
      </c>
      <c r="B1065" s="1" t="s">
        <v>1075</v>
      </c>
      <c r="C1065" s="1" t="s">
        <v>13</v>
      </c>
      <c r="D1065" s="2">
        <v>46052.51782407407</v>
      </c>
      <c r="E1065" s="3">
        <v>46052.0</v>
      </c>
      <c r="F1065" s="3" t="str">
        <f t="shared" si="1"/>
        <v>January-2026</v>
      </c>
      <c r="G1065" s="1">
        <v>12.0</v>
      </c>
      <c r="H1065" s="1">
        <v>44300.0</v>
      </c>
      <c r="I1065" s="1">
        <v>8993.0</v>
      </c>
      <c r="J1065" s="1">
        <v>11330.0</v>
      </c>
      <c r="K1065" s="1">
        <v>23977.0</v>
      </c>
    </row>
    <row r="1066">
      <c r="A1066" s="1" t="s">
        <v>11</v>
      </c>
      <c r="B1066" s="1" t="s">
        <v>1076</v>
      </c>
      <c r="C1066" s="1" t="s">
        <v>13</v>
      </c>
      <c r="D1066" s="2">
        <v>46052.61738425926</v>
      </c>
      <c r="E1066" s="3">
        <v>46052.0</v>
      </c>
      <c r="F1066" s="3" t="str">
        <f t="shared" si="1"/>
        <v>January-2026</v>
      </c>
      <c r="G1066" s="1">
        <v>14.0</v>
      </c>
      <c r="H1066" s="1">
        <v>16900.0</v>
      </c>
      <c r="I1066" s="1">
        <v>3190.0</v>
      </c>
      <c r="J1066" s="1">
        <v>4141.0</v>
      </c>
      <c r="K1066" s="1">
        <v>9569.0</v>
      </c>
    </row>
    <row r="1067">
      <c r="A1067" s="1" t="s">
        <v>11</v>
      </c>
      <c r="B1067" s="1" t="s">
        <v>1077</v>
      </c>
      <c r="C1067" s="1" t="s">
        <v>13</v>
      </c>
      <c r="D1067" s="2">
        <v>46052.65232638889</v>
      </c>
      <c r="E1067" s="3">
        <v>46052.0</v>
      </c>
      <c r="F1067" s="3" t="str">
        <f t="shared" si="1"/>
        <v>January-2026</v>
      </c>
      <c r="G1067" s="1">
        <v>15.0</v>
      </c>
      <c r="H1067" s="1">
        <v>26500.0</v>
      </c>
      <c r="I1067" s="1">
        <v>6625.0</v>
      </c>
      <c r="J1067" s="1">
        <v>0.0</v>
      </c>
      <c r="K1067" s="1">
        <v>19875.0</v>
      </c>
    </row>
    <row r="1068">
      <c r="A1068" s="1" t="s">
        <v>11</v>
      </c>
      <c r="B1068" s="1" t="s">
        <v>1078</v>
      </c>
      <c r="C1068" s="1" t="s">
        <v>13</v>
      </c>
      <c r="D1068" s="2">
        <v>46052.75335648148</v>
      </c>
      <c r="E1068" s="3">
        <v>46052.0</v>
      </c>
      <c r="F1068" s="3" t="str">
        <f t="shared" si="1"/>
        <v>January-2026</v>
      </c>
      <c r="G1068" s="1">
        <v>18.0</v>
      </c>
      <c r="H1068" s="1">
        <v>39400.0</v>
      </c>
      <c r="I1068" s="1">
        <v>8013.0</v>
      </c>
      <c r="J1068" s="1">
        <v>9350.0</v>
      </c>
      <c r="K1068" s="1">
        <v>22037.0</v>
      </c>
    </row>
    <row r="1069">
      <c r="A1069" s="1" t="s">
        <v>11</v>
      </c>
      <c r="B1069" s="1" t="s">
        <v>1079</v>
      </c>
      <c r="C1069" s="1" t="s">
        <v>13</v>
      </c>
      <c r="D1069" s="2">
        <v>46052.76712962963</v>
      </c>
      <c r="E1069" s="3">
        <v>46052.0</v>
      </c>
      <c r="F1069" s="3" t="str">
        <f t="shared" si="1"/>
        <v>January-2026</v>
      </c>
      <c r="G1069" s="1">
        <v>18.0</v>
      </c>
      <c r="H1069" s="1">
        <v>21900.0</v>
      </c>
      <c r="I1069" s="1">
        <v>4250.0</v>
      </c>
      <c r="J1069" s="1">
        <v>4900.0</v>
      </c>
      <c r="K1069" s="1">
        <v>12750.0</v>
      </c>
    </row>
    <row r="1070">
      <c r="A1070" s="1" t="s">
        <v>11</v>
      </c>
      <c r="B1070" s="1" t="s">
        <v>1080</v>
      </c>
      <c r="C1070" s="1" t="s">
        <v>13</v>
      </c>
      <c r="D1070" s="2">
        <v>46052.83820601852</v>
      </c>
      <c r="E1070" s="3">
        <v>46052.0</v>
      </c>
      <c r="F1070" s="3" t="str">
        <f t="shared" si="1"/>
        <v>January-2026</v>
      </c>
      <c r="G1070" s="1">
        <v>20.0</v>
      </c>
      <c r="H1070" s="1">
        <v>33300.0</v>
      </c>
      <c r="I1070" s="1">
        <v>6694.0</v>
      </c>
      <c r="J1070" s="1">
        <v>8527.0</v>
      </c>
      <c r="K1070" s="1">
        <v>18079.0</v>
      </c>
    </row>
    <row r="1071">
      <c r="A1071" s="1" t="s">
        <v>11</v>
      </c>
      <c r="B1071" s="1" t="s">
        <v>1081</v>
      </c>
      <c r="C1071" s="1" t="s">
        <v>13</v>
      </c>
      <c r="D1071" s="2">
        <v>46052.84462962963</v>
      </c>
      <c r="E1071" s="3">
        <v>46052.0</v>
      </c>
      <c r="F1071" s="3" t="str">
        <f t="shared" si="1"/>
        <v>January-2026</v>
      </c>
      <c r="G1071" s="1">
        <v>20.0</v>
      </c>
      <c r="H1071" s="1">
        <v>33800.0</v>
      </c>
      <c r="I1071" s="1">
        <v>6794.0</v>
      </c>
      <c r="J1071" s="1">
        <v>8625.0</v>
      </c>
      <c r="K1071" s="1">
        <v>18381.0</v>
      </c>
    </row>
    <row r="1072">
      <c r="A1072" s="1" t="s">
        <v>11</v>
      </c>
      <c r="B1072" s="1" t="s">
        <v>1082</v>
      </c>
      <c r="C1072" s="1" t="s">
        <v>13</v>
      </c>
      <c r="D1072" s="2">
        <v>46053.518229166664</v>
      </c>
      <c r="E1072" s="3">
        <v>46053.0</v>
      </c>
      <c r="F1072" s="3" t="str">
        <f t="shared" si="1"/>
        <v>January-2026</v>
      </c>
      <c r="G1072" s="1">
        <v>12.0</v>
      </c>
      <c r="H1072" s="1">
        <v>23800.0</v>
      </c>
      <c r="I1072" s="1">
        <v>4725.0</v>
      </c>
      <c r="J1072" s="1">
        <v>4900.0</v>
      </c>
      <c r="K1072" s="1">
        <v>14175.0</v>
      </c>
    </row>
    <row r="1073">
      <c r="A1073" s="1" t="s">
        <v>11</v>
      </c>
      <c r="B1073" s="1" t="s">
        <v>1083</v>
      </c>
      <c r="C1073" s="1" t="s">
        <v>13</v>
      </c>
      <c r="D1073" s="2">
        <v>46053.53855324074</v>
      </c>
      <c r="E1073" s="3">
        <v>46053.0</v>
      </c>
      <c r="F1073" s="3" t="str">
        <f t="shared" si="1"/>
        <v>January-2026</v>
      </c>
      <c r="G1073" s="1">
        <v>12.0</v>
      </c>
      <c r="H1073" s="1">
        <v>21900.0</v>
      </c>
      <c r="I1073" s="1">
        <v>4250.0</v>
      </c>
      <c r="J1073" s="1">
        <v>4900.0</v>
      </c>
      <c r="K1073" s="1">
        <v>12750.0</v>
      </c>
    </row>
    <row r="1074">
      <c r="A1074" s="1" t="s">
        <v>11</v>
      </c>
      <c r="B1074" s="1" t="s">
        <v>1084</v>
      </c>
      <c r="C1074" s="1" t="s">
        <v>13</v>
      </c>
      <c r="D1074" s="2">
        <v>46053.57336805556</v>
      </c>
      <c r="E1074" s="3">
        <v>46053.0</v>
      </c>
      <c r="F1074" s="3" t="str">
        <f t="shared" si="1"/>
        <v>January-2026</v>
      </c>
      <c r="G1074" s="1">
        <v>13.0</v>
      </c>
      <c r="H1074" s="1">
        <v>21900.0</v>
      </c>
      <c r="I1074" s="1">
        <v>4250.0</v>
      </c>
      <c r="J1074" s="1">
        <v>4900.0</v>
      </c>
      <c r="K1074" s="1">
        <v>12750.0</v>
      </c>
    </row>
    <row r="1075">
      <c r="A1075" s="1" t="s">
        <v>11</v>
      </c>
      <c r="B1075" s="1" t="s">
        <v>1085</v>
      </c>
      <c r="C1075" s="1" t="s">
        <v>13</v>
      </c>
      <c r="D1075" s="2">
        <v>46053.5756712963</v>
      </c>
      <c r="E1075" s="3">
        <v>46053.0</v>
      </c>
      <c r="F1075" s="3" t="str">
        <f t="shared" si="1"/>
        <v>January-2026</v>
      </c>
      <c r="G1075" s="1">
        <v>13.0</v>
      </c>
      <c r="H1075" s="1">
        <v>18500.0</v>
      </c>
      <c r="I1075" s="1">
        <v>3492.0</v>
      </c>
      <c r="J1075" s="1">
        <v>4533.0</v>
      </c>
      <c r="K1075" s="1">
        <v>10475.0</v>
      </c>
    </row>
    <row r="1076">
      <c r="A1076" s="1" t="s">
        <v>11</v>
      </c>
      <c r="B1076" s="1" t="s">
        <v>1086</v>
      </c>
      <c r="C1076" s="1" t="s">
        <v>13</v>
      </c>
      <c r="D1076" s="2">
        <v>46053.576736111114</v>
      </c>
      <c r="E1076" s="3">
        <v>46053.0</v>
      </c>
      <c r="F1076" s="3" t="str">
        <f t="shared" si="1"/>
        <v>January-2026</v>
      </c>
      <c r="G1076" s="1">
        <v>13.0</v>
      </c>
      <c r="H1076" s="1">
        <v>31700.0</v>
      </c>
      <c r="I1076" s="1">
        <v>6294.0</v>
      </c>
      <c r="J1076" s="1">
        <v>8524.0</v>
      </c>
      <c r="K1076" s="1">
        <v>16882.0</v>
      </c>
    </row>
    <row r="1077">
      <c r="A1077" s="1" t="s">
        <v>11</v>
      </c>
      <c r="B1077" s="1" t="s">
        <v>1087</v>
      </c>
      <c r="C1077" s="1" t="s">
        <v>13</v>
      </c>
      <c r="D1077" s="2">
        <v>46053.599710648145</v>
      </c>
      <c r="E1077" s="3">
        <v>46053.0</v>
      </c>
      <c r="F1077" s="3" t="str">
        <f t="shared" si="1"/>
        <v>January-2026</v>
      </c>
      <c r="G1077" s="1">
        <v>14.0</v>
      </c>
      <c r="H1077" s="1">
        <v>18500.0</v>
      </c>
      <c r="I1077" s="1">
        <v>3492.0</v>
      </c>
      <c r="J1077" s="1">
        <v>4533.0</v>
      </c>
      <c r="K1077" s="1">
        <v>10475.0</v>
      </c>
    </row>
    <row r="1078">
      <c r="A1078" s="1" t="s">
        <v>11</v>
      </c>
      <c r="B1078" s="1" t="s">
        <v>1088</v>
      </c>
      <c r="C1078" s="1" t="s">
        <v>13</v>
      </c>
      <c r="D1078" s="2">
        <v>46053.73944444444</v>
      </c>
      <c r="E1078" s="3">
        <v>46053.0</v>
      </c>
      <c r="F1078" s="3" t="str">
        <f t="shared" si="1"/>
        <v>January-2026</v>
      </c>
      <c r="G1078" s="1">
        <v>17.0</v>
      </c>
      <c r="H1078" s="1">
        <v>21900.0</v>
      </c>
      <c r="I1078" s="1">
        <v>4250.0</v>
      </c>
      <c r="J1078" s="1">
        <v>4900.0</v>
      </c>
      <c r="K1078" s="1">
        <v>12750.0</v>
      </c>
    </row>
    <row r="1079">
      <c r="A1079" s="1" t="s">
        <v>11</v>
      </c>
      <c r="B1079" s="1" t="s">
        <v>1089</v>
      </c>
      <c r="C1079" s="1" t="s">
        <v>13</v>
      </c>
      <c r="D1079" s="2">
        <v>46053.7728125</v>
      </c>
      <c r="E1079" s="3">
        <v>46053.0</v>
      </c>
      <c r="F1079" s="3" t="str">
        <f t="shared" si="1"/>
        <v>January-2026</v>
      </c>
      <c r="G1079" s="1">
        <v>18.0</v>
      </c>
      <c r="H1079" s="1">
        <v>55500.0</v>
      </c>
      <c r="I1079" s="1">
        <v>11010.0</v>
      </c>
      <c r="J1079" s="1">
        <v>15461.0</v>
      </c>
      <c r="K1079" s="1">
        <v>29029.0</v>
      </c>
    </row>
    <row r="1080">
      <c r="A1080" s="1" t="s">
        <v>11</v>
      </c>
      <c r="B1080" s="1" t="s">
        <v>1090</v>
      </c>
      <c r="C1080" s="1" t="s">
        <v>13</v>
      </c>
      <c r="D1080" s="2">
        <v>46053.78596064815</v>
      </c>
      <c r="E1080" s="3">
        <v>46053.0</v>
      </c>
      <c r="F1080" s="3" t="str">
        <f t="shared" si="1"/>
        <v>January-2026</v>
      </c>
      <c r="G1080" s="1">
        <v>18.0</v>
      </c>
      <c r="H1080" s="1">
        <v>80700.0</v>
      </c>
      <c r="I1080" s="1">
        <v>14224.0</v>
      </c>
      <c r="J1080" s="1">
        <v>27807.0</v>
      </c>
      <c r="K1080" s="1">
        <v>38669.0</v>
      </c>
    </row>
    <row r="1081">
      <c r="A1081" s="1" t="s">
        <v>11</v>
      </c>
      <c r="B1081" s="1" t="s">
        <v>1091</v>
      </c>
      <c r="C1081" s="1" t="s">
        <v>13</v>
      </c>
      <c r="D1081" s="2">
        <v>46053.789872685185</v>
      </c>
      <c r="E1081" s="3">
        <v>46053.0</v>
      </c>
      <c r="F1081" s="3" t="str">
        <f t="shared" si="1"/>
        <v>January-2026</v>
      </c>
      <c r="G1081" s="1">
        <v>18.0</v>
      </c>
      <c r="H1081" s="1">
        <v>16900.0</v>
      </c>
      <c r="I1081" s="1">
        <v>3190.0</v>
      </c>
      <c r="J1081" s="1">
        <v>4141.0</v>
      </c>
      <c r="K1081" s="1">
        <v>9569.0</v>
      </c>
    </row>
    <row r="1082">
      <c r="A1082" s="1" t="s">
        <v>11</v>
      </c>
      <c r="B1082" s="1" t="s">
        <v>1092</v>
      </c>
      <c r="C1082" s="1" t="s">
        <v>13</v>
      </c>
      <c r="D1082" s="2">
        <v>46053.86306712963</v>
      </c>
      <c r="E1082" s="3">
        <v>46053.0</v>
      </c>
      <c r="F1082" s="3" t="str">
        <f t="shared" si="1"/>
        <v>January-2026</v>
      </c>
      <c r="G1082" s="1">
        <v>20.0</v>
      </c>
      <c r="H1082" s="1">
        <v>49700.0</v>
      </c>
      <c r="I1082" s="1">
        <v>10588.0</v>
      </c>
      <c r="J1082" s="1">
        <v>10350.0</v>
      </c>
      <c r="K1082" s="1">
        <v>28762.0</v>
      </c>
    </row>
    <row r="1083">
      <c r="A1083" s="1" t="s">
        <v>11</v>
      </c>
      <c r="B1083" s="1" t="s">
        <v>1093</v>
      </c>
      <c r="C1083" s="1" t="s">
        <v>13</v>
      </c>
      <c r="D1083" s="2">
        <v>46053.87262731481</v>
      </c>
      <c r="E1083" s="3">
        <v>46053.0</v>
      </c>
      <c r="F1083" s="3" t="str">
        <f t="shared" si="1"/>
        <v>January-2026</v>
      </c>
      <c r="G1083" s="1">
        <v>20.0</v>
      </c>
      <c r="H1083" s="1">
        <v>21900.0</v>
      </c>
      <c r="I1083" s="1">
        <v>4134.0</v>
      </c>
      <c r="J1083" s="1">
        <v>5366.0</v>
      </c>
      <c r="K1083" s="1">
        <v>12400.0</v>
      </c>
    </row>
    <row r="1084">
      <c r="A1084" s="1" t="s">
        <v>11</v>
      </c>
      <c r="B1084" s="1" t="s">
        <v>1094</v>
      </c>
      <c r="C1084" s="1" t="s">
        <v>13</v>
      </c>
      <c r="D1084" s="2">
        <v>46053.87917824074</v>
      </c>
      <c r="E1084" s="3">
        <v>46053.0</v>
      </c>
      <c r="F1084" s="3" t="str">
        <f t="shared" si="1"/>
        <v>January-2026</v>
      </c>
      <c r="G1084" s="1">
        <v>21.0</v>
      </c>
      <c r="H1084" s="1">
        <v>30700.0</v>
      </c>
      <c r="I1084" s="1">
        <v>6284.0</v>
      </c>
      <c r="J1084" s="1">
        <v>7566.0</v>
      </c>
      <c r="K1084" s="1">
        <v>16850.0</v>
      </c>
    </row>
    <row r="1085">
      <c r="A1085" s="1" t="s">
        <v>11</v>
      </c>
      <c r="B1085" s="1" t="s">
        <v>1095</v>
      </c>
      <c r="C1085" s="1" t="s">
        <v>13</v>
      </c>
      <c r="D1085" s="2">
        <v>46053.881631944445</v>
      </c>
      <c r="E1085" s="3">
        <v>46053.0</v>
      </c>
      <c r="F1085" s="3" t="str">
        <f t="shared" si="1"/>
        <v>January-2026</v>
      </c>
      <c r="G1085" s="1">
        <v>21.0</v>
      </c>
      <c r="H1085" s="1">
        <v>27400.0</v>
      </c>
      <c r="I1085" s="1">
        <v>5625.0</v>
      </c>
      <c r="J1085" s="1">
        <v>4900.0</v>
      </c>
      <c r="K1085" s="1">
        <v>16875.0</v>
      </c>
    </row>
    <row r="1086">
      <c r="A1086" s="1" t="s">
        <v>11</v>
      </c>
      <c r="B1086" s="1" t="s">
        <v>1096</v>
      </c>
      <c r="C1086" s="1" t="s">
        <v>13</v>
      </c>
      <c r="D1086" s="2">
        <v>46053.895150462966</v>
      </c>
      <c r="E1086" s="3">
        <v>46053.0</v>
      </c>
      <c r="F1086" s="3" t="str">
        <f t="shared" si="1"/>
        <v>January-2026</v>
      </c>
      <c r="G1086" s="1">
        <v>21.0</v>
      </c>
      <c r="H1086" s="1">
        <v>50700.0</v>
      </c>
      <c r="I1086" s="1">
        <v>10838.0</v>
      </c>
      <c r="J1086" s="1">
        <v>11350.0</v>
      </c>
      <c r="K1086" s="1">
        <v>28512.0</v>
      </c>
    </row>
    <row r="1087">
      <c r="A1087" s="1" t="s">
        <v>11</v>
      </c>
      <c r="B1087" s="1" t="s">
        <v>1097</v>
      </c>
      <c r="C1087" s="1" t="s">
        <v>13</v>
      </c>
      <c r="D1087" s="2">
        <v>46053.89743055555</v>
      </c>
      <c r="E1087" s="3">
        <v>46053.0</v>
      </c>
      <c r="F1087" s="3" t="str">
        <f t="shared" si="1"/>
        <v>January-2026</v>
      </c>
      <c r="G1087" s="1">
        <v>21.0</v>
      </c>
      <c r="H1087" s="1">
        <v>37400.0</v>
      </c>
      <c r="I1087" s="1">
        <v>7976.0</v>
      </c>
      <c r="J1087" s="1">
        <v>7498.0</v>
      </c>
      <c r="K1087" s="1">
        <v>21926.0</v>
      </c>
    </row>
    <row r="1088">
      <c r="A1088" s="1" t="s">
        <v>11</v>
      </c>
      <c r="B1088" s="1" t="s">
        <v>1098</v>
      </c>
      <c r="C1088" s="1" t="s">
        <v>13</v>
      </c>
      <c r="D1088" s="2">
        <v>46053.924375</v>
      </c>
      <c r="E1088" s="3">
        <v>46053.0</v>
      </c>
      <c r="F1088" s="3" t="str">
        <f t="shared" si="1"/>
        <v>January-2026</v>
      </c>
      <c r="G1088" s="1">
        <v>22.0</v>
      </c>
      <c r="H1088" s="1">
        <v>16900.0</v>
      </c>
      <c r="I1088" s="1">
        <v>4225.0</v>
      </c>
      <c r="J1088" s="1">
        <v>0.0</v>
      </c>
      <c r="K1088" s="1">
        <v>12675.0</v>
      </c>
    </row>
    <row r="1089">
      <c r="A1089" s="1" t="s">
        <v>11</v>
      </c>
      <c r="B1089" s="1" t="s">
        <v>1099</v>
      </c>
      <c r="C1089" s="1" t="s">
        <v>13</v>
      </c>
      <c r="D1089" s="2">
        <v>46053.93415509259</v>
      </c>
      <c r="E1089" s="3">
        <v>46053.0</v>
      </c>
      <c r="F1089" s="3" t="str">
        <f t="shared" si="1"/>
        <v>January-2026</v>
      </c>
      <c r="G1089" s="1">
        <v>22.0</v>
      </c>
      <c r="H1089" s="1">
        <v>31700.0</v>
      </c>
      <c r="I1089" s="1">
        <v>6372.0</v>
      </c>
      <c r="J1089" s="1">
        <v>8214.0</v>
      </c>
      <c r="K1089" s="1">
        <v>17114.0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3.25"/>
    <col customWidth="1" min="3" max="3" width="17.63"/>
  </cols>
  <sheetData>
    <row r="1">
      <c r="A1" s="5" t="s">
        <v>5</v>
      </c>
      <c r="B1" s="6" t="s">
        <v>1100</v>
      </c>
      <c r="C1" s="6" t="s">
        <v>1101</v>
      </c>
      <c r="D1" s="6" t="s">
        <v>1102</v>
      </c>
      <c r="E1" s="6" t="s">
        <v>1103</v>
      </c>
      <c r="F1" s="6" t="s">
        <v>1104</v>
      </c>
    </row>
    <row r="2">
      <c r="A2" s="5">
        <v>45962.0</v>
      </c>
      <c r="B2" s="7">
        <v>362.0</v>
      </c>
      <c r="C2" s="7">
        <v>1.37604E7</v>
      </c>
      <c r="D2" s="7">
        <v>2741309.0</v>
      </c>
      <c r="E2" s="7">
        <v>3447543.0</v>
      </c>
      <c r="F2" s="7">
        <v>7571548.0</v>
      </c>
    </row>
    <row r="3">
      <c r="A3" s="5">
        <v>45992.0</v>
      </c>
      <c r="B3" s="7">
        <v>366.0</v>
      </c>
      <c r="C3" s="7">
        <v>1.38775E7</v>
      </c>
      <c r="D3" s="7">
        <v>2777432.0</v>
      </c>
      <c r="E3" s="7">
        <v>3407783.0</v>
      </c>
      <c r="F3" s="7">
        <v>7692285.0</v>
      </c>
    </row>
    <row r="4">
      <c r="A4" s="5">
        <v>46023.0</v>
      </c>
      <c r="B4" s="7">
        <v>360.0</v>
      </c>
      <c r="C4" s="7">
        <v>1.23335E7</v>
      </c>
      <c r="D4" s="7">
        <v>2452084.0</v>
      </c>
      <c r="E4" s="7">
        <v>3088989.0</v>
      </c>
      <c r="F4" s="7">
        <v>6792427.0</v>
      </c>
    </row>
    <row r="5">
      <c r="A5" s="6" t="s">
        <v>1105</v>
      </c>
      <c r="B5" s="7">
        <v>1088.0</v>
      </c>
      <c r="C5" s="7">
        <v>3.99714E7</v>
      </c>
      <c r="D5" s="7">
        <v>7970825.0</v>
      </c>
      <c r="E5" s="7">
        <v>9944315.0</v>
      </c>
      <c r="F5" s="7">
        <v>2.205626E7</v>
      </c>
    </row>
  </sheetData>
  <autoFilter ref="$A$1:$Z$4">
    <sortState ref="A1:Z4">
      <sortCondition ref="A1:A4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25"/>
  </cols>
  <sheetData>
    <row r="1"/>
    <row r="2" hidden="1"/>
    <row r="3"/>
    <row r="4"/>
    <row r="5"/>
    <row r="6"/>
    <row r="7"/>
    <row r="8"/>
    <row r="9"/>
    <row r="10"/>
    <row r="11"/>
    <row r="12"/>
    <row r="13"/>
    <row r="14"/>
    <row r="15"/>
    <row r="1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75"/>
  </cols>
  <sheetData>
    <row r="1">
      <c r="A1" s="1" t="s">
        <v>1107</v>
      </c>
      <c r="B1" s="8" t="s">
        <v>1108</v>
      </c>
    </row>
    <row r="2">
      <c r="A2" s="1" t="s">
        <v>1109</v>
      </c>
      <c r="B2" s="9">
        <f>COUNTA(staging_sales!B:B)</f>
        <v>1089</v>
      </c>
    </row>
    <row r="3">
      <c r="A3" s="1" t="s">
        <v>1110</v>
      </c>
      <c r="B3" s="9">
        <f>sum(staging_sales!H:H)</f>
        <v>39971400</v>
      </c>
    </row>
    <row r="4">
      <c r="A4" s="1" t="s">
        <v>1111</v>
      </c>
      <c r="B4" s="9">
        <f>SUM(staging_sales!K:K)</f>
        <v>22056260</v>
      </c>
    </row>
    <row r="5">
      <c r="A5" s="1" t="s">
        <v>1112</v>
      </c>
      <c r="B5" s="10">
        <f>(SUM(staging_sales!I:I)+SUM(staging_sales!J:J))/SUM(staging_sales!H:H)</f>
        <v>0.4481989623</v>
      </c>
    </row>
    <row r="6">
      <c r="A6" s="1" t="s">
        <v>1113</v>
      </c>
      <c r="B6" s="9">
        <f>AVERAGE(staging_sales!H:H)</f>
        <v>36738.41912</v>
      </c>
    </row>
    <row r="7">
      <c r="B7" s="9"/>
    </row>
    <row r="8">
      <c r="B8" s="9"/>
    </row>
    <row r="9">
      <c r="B9" s="9"/>
    </row>
    <row r="10">
      <c r="B10" s="9"/>
    </row>
    <row r="11">
      <c r="B11" s="9"/>
    </row>
    <row r="12">
      <c r="B12" s="9"/>
    </row>
    <row r="13">
      <c r="B13" s="9"/>
    </row>
    <row r="14">
      <c r="B14" s="9"/>
    </row>
    <row r="15">
      <c r="B15" s="9"/>
    </row>
    <row r="16">
      <c r="B16" s="9"/>
    </row>
    <row r="17">
      <c r="B17" s="9"/>
    </row>
    <row r="18">
      <c r="B18" s="9"/>
    </row>
    <row r="19">
      <c r="B19" s="9"/>
    </row>
    <row r="20">
      <c r="B20" s="9"/>
    </row>
    <row r="21">
      <c r="B21" s="9"/>
    </row>
    <row r="22">
      <c r="B22" s="9"/>
    </row>
    <row r="23">
      <c r="B23" s="9"/>
    </row>
    <row r="24">
      <c r="B24" s="9"/>
    </row>
    <row r="25">
      <c r="B25" s="9"/>
    </row>
    <row r="26">
      <c r="B26" s="9"/>
    </row>
    <row r="27">
      <c r="B27" s="9"/>
    </row>
    <row r="28">
      <c r="B28" s="9"/>
    </row>
    <row r="29">
      <c r="B29" s="9"/>
    </row>
    <row r="30">
      <c r="B30" s="9"/>
    </row>
    <row r="31">
      <c r="B31" s="9"/>
    </row>
    <row r="32">
      <c r="B32" s="9"/>
    </row>
    <row r="33">
      <c r="B33" s="9"/>
    </row>
    <row r="34">
      <c r="B34" s="9"/>
    </row>
    <row r="35">
      <c r="B35" s="9"/>
    </row>
    <row r="36">
      <c r="B36" s="9"/>
    </row>
    <row r="37">
      <c r="B37" s="9"/>
    </row>
    <row r="38">
      <c r="B38" s="9"/>
    </row>
    <row r="39">
      <c r="B39" s="9"/>
    </row>
    <row r="40">
      <c r="B40" s="9"/>
    </row>
    <row r="41">
      <c r="B41" s="9"/>
    </row>
    <row r="42">
      <c r="B42" s="9"/>
    </row>
    <row r="43">
      <c r="B43" s="9"/>
    </row>
    <row r="44">
      <c r="B44" s="9"/>
    </row>
    <row r="45">
      <c r="B45" s="9"/>
    </row>
    <row r="46">
      <c r="B46" s="9"/>
    </row>
    <row r="47">
      <c r="B47" s="9"/>
    </row>
    <row r="48">
      <c r="B48" s="9"/>
    </row>
    <row r="49">
      <c r="B49" s="9"/>
    </row>
    <row r="50">
      <c r="B50" s="9"/>
    </row>
    <row r="51">
      <c r="B51" s="9"/>
    </row>
    <row r="52">
      <c r="B52" s="9"/>
    </row>
    <row r="53">
      <c r="B53" s="9"/>
    </row>
    <row r="54">
      <c r="B54" s="9"/>
    </row>
    <row r="55">
      <c r="B55" s="9"/>
    </row>
    <row r="56">
      <c r="B56" s="9"/>
    </row>
    <row r="57">
      <c r="B57" s="9"/>
    </row>
    <row r="58">
      <c r="B58" s="9"/>
    </row>
    <row r="59">
      <c r="B59" s="9"/>
    </row>
    <row r="60">
      <c r="B60" s="9"/>
    </row>
    <row r="61">
      <c r="B61" s="9"/>
    </row>
    <row r="62">
      <c r="B62" s="9"/>
    </row>
    <row r="63">
      <c r="B63" s="9"/>
    </row>
    <row r="64">
      <c r="B64" s="9"/>
    </row>
    <row r="65">
      <c r="B65" s="9"/>
    </row>
    <row r="66">
      <c r="B66" s="9"/>
    </row>
    <row r="67">
      <c r="B67" s="9"/>
    </row>
    <row r="68">
      <c r="B68" s="9"/>
    </row>
    <row r="69">
      <c r="B69" s="9"/>
    </row>
    <row r="70">
      <c r="B70" s="9"/>
    </row>
    <row r="71">
      <c r="B71" s="9"/>
    </row>
    <row r="72">
      <c r="B72" s="9"/>
    </row>
    <row r="73">
      <c r="B73" s="9"/>
    </row>
    <row r="74">
      <c r="B74" s="9"/>
    </row>
    <row r="75">
      <c r="B75" s="9"/>
    </row>
    <row r="76">
      <c r="B76" s="9"/>
    </row>
    <row r="77">
      <c r="B77" s="9"/>
    </row>
    <row r="78">
      <c r="B78" s="9"/>
    </row>
    <row r="79">
      <c r="B79" s="9"/>
    </row>
    <row r="80">
      <c r="B80" s="9"/>
    </row>
    <row r="81">
      <c r="B81" s="9"/>
    </row>
    <row r="82">
      <c r="B82" s="9"/>
    </row>
    <row r="83">
      <c r="B83" s="9"/>
    </row>
    <row r="84">
      <c r="B84" s="9"/>
    </row>
    <row r="85">
      <c r="B85" s="9"/>
    </row>
    <row r="86">
      <c r="B86" s="9"/>
    </row>
    <row r="87">
      <c r="B87" s="9"/>
    </row>
    <row r="88">
      <c r="B88" s="9"/>
    </row>
    <row r="89">
      <c r="B89" s="9"/>
    </row>
    <row r="90">
      <c r="B90" s="9"/>
    </row>
    <row r="91">
      <c r="B91" s="9"/>
    </row>
    <row r="92">
      <c r="B92" s="9"/>
    </row>
    <row r="93">
      <c r="B93" s="9"/>
    </row>
    <row r="94">
      <c r="B94" s="9"/>
    </row>
    <row r="95">
      <c r="B95" s="9"/>
    </row>
    <row r="96">
      <c r="B96" s="9"/>
    </row>
    <row r="97">
      <c r="B97" s="9"/>
    </row>
    <row r="98">
      <c r="B98" s="9"/>
    </row>
    <row r="99">
      <c r="B99" s="9"/>
    </row>
    <row r="100">
      <c r="B100" s="9"/>
    </row>
    <row r="101">
      <c r="B101" s="9"/>
    </row>
    <row r="102">
      <c r="B102" s="9"/>
    </row>
    <row r="103">
      <c r="B103" s="9"/>
    </row>
    <row r="104">
      <c r="B104" s="9"/>
    </row>
    <row r="105">
      <c r="B105" s="9"/>
    </row>
    <row r="106">
      <c r="B106" s="9"/>
    </row>
    <row r="107">
      <c r="B107" s="9"/>
    </row>
    <row r="108">
      <c r="B108" s="9"/>
    </row>
    <row r="109">
      <c r="B109" s="9"/>
    </row>
    <row r="110">
      <c r="B110" s="9"/>
    </row>
    <row r="111">
      <c r="B111" s="9"/>
    </row>
    <row r="112">
      <c r="B112" s="9"/>
    </row>
    <row r="113">
      <c r="B113" s="9"/>
    </row>
    <row r="114">
      <c r="B114" s="9"/>
    </row>
    <row r="115">
      <c r="B115" s="9"/>
    </row>
    <row r="116">
      <c r="B116" s="9"/>
    </row>
    <row r="117">
      <c r="B117" s="9"/>
    </row>
    <row r="118">
      <c r="B118" s="9"/>
    </row>
    <row r="119">
      <c r="B119" s="9"/>
    </row>
    <row r="120">
      <c r="B120" s="9"/>
    </row>
    <row r="121">
      <c r="B121" s="9"/>
    </row>
    <row r="122">
      <c r="B122" s="9"/>
    </row>
    <row r="123">
      <c r="B123" s="9"/>
    </row>
    <row r="124">
      <c r="B124" s="9"/>
    </row>
    <row r="125">
      <c r="B125" s="9"/>
    </row>
    <row r="126">
      <c r="B126" s="9"/>
    </row>
    <row r="127">
      <c r="B127" s="9"/>
    </row>
    <row r="128">
      <c r="B128" s="9"/>
    </row>
    <row r="129">
      <c r="B129" s="9"/>
    </row>
    <row r="130">
      <c r="B130" s="9"/>
    </row>
    <row r="131">
      <c r="B131" s="9"/>
    </row>
    <row r="132">
      <c r="B132" s="9"/>
    </row>
    <row r="133">
      <c r="B133" s="9"/>
    </row>
    <row r="134">
      <c r="B134" s="9"/>
    </row>
    <row r="135">
      <c r="B135" s="9"/>
    </row>
    <row r="136">
      <c r="B136" s="9"/>
    </row>
    <row r="137">
      <c r="B137" s="9"/>
    </row>
    <row r="138">
      <c r="B138" s="9"/>
    </row>
    <row r="139">
      <c r="B139" s="9"/>
    </row>
    <row r="140">
      <c r="B140" s="9"/>
    </row>
    <row r="141">
      <c r="B141" s="9"/>
    </row>
    <row r="142">
      <c r="B142" s="9"/>
    </row>
    <row r="143">
      <c r="B143" s="9"/>
    </row>
    <row r="144">
      <c r="B144" s="9"/>
    </row>
    <row r="145">
      <c r="B145" s="9"/>
    </row>
    <row r="146">
      <c r="B146" s="9"/>
    </row>
    <row r="147">
      <c r="B147" s="9"/>
    </row>
    <row r="148">
      <c r="B148" s="9"/>
    </row>
    <row r="149">
      <c r="B149" s="9"/>
    </row>
    <row r="150">
      <c r="B150" s="9"/>
    </row>
    <row r="151">
      <c r="B151" s="9"/>
    </row>
    <row r="152">
      <c r="B152" s="9"/>
    </row>
    <row r="153">
      <c r="B153" s="9"/>
    </row>
    <row r="154">
      <c r="B154" s="9"/>
    </row>
    <row r="155">
      <c r="B155" s="9"/>
    </row>
    <row r="156">
      <c r="B156" s="9"/>
    </row>
    <row r="157">
      <c r="B157" s="9"/>
    </row>
    <row r="158">
      <c r="B158" s="9"/>
    </row>
    <row r="159">
      <c r="B159" s="9"/>
    </row>
    <row r="160">
      <c r="B160" s="9"/>
    </row>
    <row r="161">
      <c r="B161" s="9"/>
    </row>
    <row r="162">
      <c r="B162" s="9"/>
    </row>
    <row r="163">
      <c r="B163" s="9"/>
    </row>
    <row r="164">
      <c r="B164" s="9"/>
    </row>
    <row r="165">
      <c r="B165" s="9"/>
    </row>
    <row r="166">
      <c r="B166" s="9"/>
    </row>
    <row r="167">
      <c r="B167" s="9"/>
    </row>
    <row r="168">
      <c r="B168" s="9"/>
    </row>
    <row r="169">
      <c r="B169" s="9"/>
    </row>
    <row r="170">
      <c r="B170" s="9"/>
    </row>
    <row r="171">
      <c r="B171" s="9"/>
    </row>
    <row r="172">
      <c r="B172" s="9"/>
    </row>
    <row r="173">
      <c r="B173" s="9"/>
    </row>
    <row r="174">
      <c r="B174" s="9"/>
    </row>
    <row r="175">
      <c r="B175" s="9"/>
    </row>
    <row r="176">
      <c r="B176" s="9"/>
    </row>
    <row r="177">
      <c r="B177" s="9"/>
    </row>
    <row r="178">
      <c r="B178" s="9"/>
    </row>
    <row r="179">
      <c r="B179" s="9"/>
    </row>
    <row r="180">
      <c r="B180" s="9"/>
    </row>
    <row r="181">
      <c r="B181" s="9"/>
    </row>
    <row r="182">
      <c r="B182" s="9"/>
    </row>
    <row r="183">
      <c r="B183" s="9"/>
    </row>
    <row r="184">
      <c r="B184" s="9"/>
    </row>
    <row r="185">
      <c r="B185" s="9"/>
    </row>
    <row r="186">
      <c r="B186" s="9"/>
    </row>
    <row r="187">
      <c r="B187" s="9"/>
    </row>
    <row r="188">
      <c r="B188" s="9"/>
    </row>
    <row r="189">
      <c r="B189" s="9"/>
    </row>
    <row r="190">
      <c r="B190" s="9"/>
    </row>
    <row r="191">
      <c r="B191" s="9"/>
    </row>
    <row r="192">
      <c r="B192" s="9"/>
    </row>
    <row r="193">
      <c r="B193" s="9"/>
    </row>
    <row r="194">
      <c r="B194" s="9"/>
    </row>
    <row r="195">
      <c r="B195" s="9"/>
    </row>
    <row r="196">
      <c r="B196" s="9"/>
    </row>
    <row r="197">
      <c r="B197" s="9"/>
    </row>
    <row r="198">
      <c r="B198" s="9"/>
    </row>
    <row r="199">
      <c r="B199" s="9"/>
    </row>
    <row r="200">
      <c r="B200" s="9"/>
    </row>
    <row r="201">
      <c r="B201" s="9"/>
    </row>
    <row r="202">
      <c r="B202" s="9"/>
    </row>
    <row r="203">
      <c r="B203" s="9"/>
    </row>
    <row r="204">
      <c r="B204" s="9"/>
    </row>
    <row r="205">
      <c r="B205" s="9"/>
    </row>
    <row r="206">
      <c r="B206" s="9"/>
    </row>
    <row r="207">
      <c r="B207" s="9"/>
    </row>
    <row r="208">
      <c r="B208" s="9"/>
    </row>
    <row r="209">
      <c r="B209" s="9"/>
    </row>
    <row r="210">
      <c r="B210" s="9"/>
    </row>
    <row r="211">
      <c r="B211" s="9"/>
    </row>
    <row r="212">
      <c r="B212" s="9"/>
    </row>
    <row r="213">
      <c r="B213" s="9"/>
    </row>
    <row r="214">
      <c r="B214" s="9"/>
    </row>
    <row r="215">
      <c r="B215" s="9"/>
    </row>
    <row r="216">
      <c r="B216" s="9"/>
    </row>
    <row r="217">
      <c r="B217" s="9"/>
    </row>
    <row r="218">
      <c r="B218" s="9"/>
    </row>
    <row r="219">
      <c r="B219" s="9"/>
    </row>
    <row r="220">
      <c r="B220" s="9"/>
    </row>
    <row r="221">
      <c r="B221" s="9"/>
    </row>
    <row r="222">
      <c r="B222" s="9"/>
    </row>
    <row r="223">
      <c r="B223" s="9"/>
    </row>
    <row r="224">
      <c r="B224" s="9"/>
    </row>
    <row r="225">
      <c r="B225" s="9"/>
    </row>
    <row r="226">
      <c r="B226" s="9"/>
    </row>
    <row r="227">
      <c r="B227" s="9"/>
    </row>
    <row r="228">
      <c r="B228" s="9"/>
    </row>
    <row r="229">
      <c r="B229" s="9"/>
    </row>
    <row r="230">
      <c r="B230" s="9"/>
    </row>
    <row r="231">
      <c r="B231" s="9"/>
    </row>
    <row r="232">
      <c r="B232" s="9"/>
    </row>
    <row r="233">
      <c r="B233" s="9"/>
    </row>
    <row r="234">
      <c r="B234" s="9"/>
    </row>
    <row r="235">
      <c r="B235" s="9"/>
    </row>
    <row r="236">
      <c r="B236" s="9"/>
    </row>
    <row r="237">
      <c r="B237" s="9"/>
    </row>
    <row r="238">
      <c r="B238" s="9"/>
    </row>
    <row r="239">
      <c r="B239" s="9"/>
    </row>
    <row r="240">
      <c r="B240" s="9"/>
    </row>
    <row r="241">
      <c r="B241" s="9"/>
    </row>
    <row r="242">
      <c r="B242" s="9"/>
    </row>
    <row r="243">
      <c r="B243" s="9"/>
    </row>
    <row r="244">
      <c r="B244" s="9"/>
    </row>
    <row r="245">
      <c r="B245" s="9"/>
    </row>
    <row r="246">
      <c r="B246" s="9"/>
    </row>
    <row r="247">
      <c r="B247" s="9"/>
    </row>
    <row r="248">
      <c r="B248" s="9"/>
    </row>
    <row r="249">
      <c r="B249" s="9"/>
    </row>
    <row r="250">
      <c r="B250" s="9"/>
    </row>
    <row r="251">
      <c r="B251" s="9"/>
    </row>
    <row r="252">
      <c r="B252" s="9"/>
    </row>
    <row r="253">
      <c r="B253" s="9"/>
    </row>
    <row r="254">
      <c r="B254" s="9"/>
    </row>
    <row r="255">
      <c r="B255" s="9"/>
    </row>
    <row r="256">
      <c r="B256" s="9"/>
    </row>
    <row r="257">
      <c r="B257" s="9"/>
    </row>
    <row r="258">
      <c r="B258" s="9"/>
    </row>
    <row r="259">
      <c r="B259" s="9"/>
    </row>
    <row r="260">
      <c r="B260" s="9"/>
    </row>
    <row r="261">
      <c r="B261" s="9"/>
    </row>
    <row r="262">
      <c r="B262" s="9"/>
    </row>
    <row r="263">
      <c r="B263" s="9"/>
    </row>
    <row r="264">
      <c r="B264" s="9"/>
    </row>
    <row r="265">
      <c r="B265" s="9"/>
    </row>
    <row r="266">
      <c r="B266" s="9"/>
    </row>
    <row r="267">
      <c r="B267" s="9"/>
    </row>
    <row r="268">
      <c r="B268" s="9"/>
    </row>
    <row r="269">
      <c r="B269" s="9"/>
    </row>
    <row r="270">
      <c r="B270" s="9"/>
    </row>
    <row r="271">
      <c r="B271" s="9"/>
    </row>
    <row r="272">
      <c r="B272" s="9"/>
    </row>
    <row r="273">
      <c r="B273" s="9"/>
    </row>
    <row r="274">
      <c r="B274" s="9"/>
    </row>
    <row r="275">
      <c r="B275" s="9"/>
    </row>
    <row r="276">
      <c r="B276" s="9"/>
    </row>
    <row r="277">
      <c r="B277" s="9"/>
    </row>
    <row r="278">
      <c r="B278" s="9"/>
    </row>
    <row r="279">
      <c r="B279" s="9"/>
    </row>
    <row r="280">
      <c r="B280" s="9"/>
    </row>
    <row r="281">
      <c r="B281" s="9"/>
    </row>
    <row r="282">
      <c r="B282" s="9"/>
    </row>
    <row r="283">
      <c r="B283" s="9"/>
    </row>
    <row r="284">
      <c r="B284" s="9"/>
    </row>
    <row r="285">
      <c r="B285" s="9"/>
    </row>
    <row r="286">
      <c r="B286" s="9"/>
    </row>
    <row r="287">
      <c r="B287" s="9"/>
    </row>
    <row r="288">
      <c r="B288" s="9"/>
    </row>
    <row r="289">
      <c r="B289" s="9"/>
    </row>
    <row r="290">
      <c r="B290" s="9"/>
    </row>
    <row r="291">
      <c r="B291" s="9"/>
    </row>
    <row r="292">
      <c r="B292" s="9"/>
    </row>
    <row r="293">
      <c r="B293" s="9"/>
    </row>
    <row r="294">
      <c r="B294" s="9"/>
    </row>
    <row r="295">
      <c r="B295" s="9"/>
    </row>
    <row r="296">
      <c r="B296" s="9"/>
    </row>
    <row r="297">
      <c r="B297" s="9"/>
    </row>
    <row r="298">
      <c r="B298" s="9"/>
    </row>
    <row r="299">
      <c r="B299" s="9"/>
    </row>
    <row r="300">
      <c r="B300" s="9"/>
    </row>
    <row r="301">
      <c r="B301" s="9"/>
    </row>
    <row r="302">
      <c r="B302" s="9"/>
    </row>
    <row r="303">
      <c r="B303" s="9"/>
    </row>
    <row r="304">
      <c r="B304" s="9"/>
    </row>
    <row r="305">
      <c r="B305" s="9"/>
    </row>
    <row r="306">
      <c r="B306" s="9"/>
    </row>
    <row r="307">
      <c r="B307" s="9"/>
    </row>
    <row r="308">
      <c r="B308" s="9"/>
    </row>
    <row r="309">
      <c r="B309" s="9"/>
    </row>
    <row r="310">
      <c r="B310" s="9"/>
    </row>
    <row r="311">
      <c r="B311" s="9"/>
    </row>
    <row r="312">
      <c r="B312" s="9"/>
    </row>
    <row r="313">
      <c r="B313" s="9"/>
    </row>
    <row r="314">
      <c r="B314" s="9"/>
    </row>
    <row r="315">
      <c r="B315" s="9"/>
    </row>
    <row r="316">
      <c r="B316" s="9"/>
    </row>
    <row r="317">
      <c r="B317" s="9"/>
    </row>
    <row r="318">
      <c r="B318" s="9"/>
    </row>
    <row r="319">
      <c r="B319" s="9"/>
    </row>
    <row r="320">
      <c r="B320" s="9"/>
    </row>
    <row r="321">
      <c r="B321" s="9"/>
    </row>
    <row r="322">
      <c r="B322" s="9"/>
    </row>
    <row r="323">
      <c r="B323" s="9"/>
    </row>
    <row r="324">
      <c r="B324" s="9"/>
    </row>
    <row r="325">
      <c r="B325" s="9"/>
    </row>
    <row r="326">
      <c r="B326" s="9"/>
    </row>
    <row r="327">
      <c r="B327" s="9"/>
    </row>
    <row r="328">
      <c r="B328" s="9"/>
    </row>
    <row r="329">
      <c r="B329" s="9"/>
    </row>
    <row r="330">
      <c r="B330" s="9"/>
    </row>
    <row r="331">
      <c r="B331" s="9"/>
    </row>
    <row r="332">
      <c r="B332" s="9"/>
    </row>
    <row r="333">
      <c r="B333" s="9"/>
    </row>
    <row r="334">
      <c r="B334" s="9"/>
    </row>
    <row r="335">
      <c r="B335" s="9"/>
    </row>
    <row r="336">
      <c r="B336" s="9"/>
    </row>
    <row r="337">
      <c r="B337" s="9"/>
    </row>
    <row r="338">
      <c r="B338" s="9"/>
    </row>
    <row r="339">
      <c r="B339" s="9"/>
    </row>
    <row r="340">
      <c r="B340" s="9"/>
    </row>
    <row r="341">
      <c r="B341" s="9"/>
    </row>
    <row r="342">
      <c r="B342" s="9"/>
    </row>
    <row r="343">
      <c r="B343" s="9"/>
    </row>
    <row r="344">
      <c r="B344" s="9"/>
    </row>
    <row r="345">
      <c r="B345" s="9"/>
    </row>
    <row r="346">
      <c r="B346" s="9"/>
    </row>
    <row r="347">
      <c r="B347" s="9"/>
    </row>
    <row r="348">
      <c r="B348" s="9"/>
    </row>
    <row r="349">
      <c r="B349" s="9"/>
    </row>
    <row r="350">
      <c r="B350" s="9"/>
    </row>
    <row r="351">
      <c r="B351" s="9"/>
    </row>
    <row r="352">
      <c r="B352" s="9"/>
    </row>
    <row r="353">
      <c r="B353" s="9"/>
    </row>
    <row r="354">
      <c r="B354" s="9"/>
    </row>
    <row r="355">
      <c r="B355" s="9"/>
    </row>
    <row r="356">
      <c r="B356" s="9"/>
    </row>
    <row r="357">
      <c r="B357" s="9"/>
    </row>
    <row r="358">
      <c r="B358" s="9"/>
    </row>
    <row r="359">
      <c r="B359" s="9"/>
    </row>
    <row r="360">
      <c r="B360" s="9"/>
    </row>
    <row r="361">
      <c r="B361" s="9"/>
    </row>
    <row r="362">
      <c r="B362" s="9"/>
    </row>
    <row r="363">
      <c r="B363" s="9"/>
    </row>
    <row r="364">
      <c r="B364" s="9"/>
    </row>
    <row r="365">
      <c r="B365" s="9"/>
    </row>
    <row r="366">
      <c r="B366" s="9"/>
    </row>
    <row r="367">
      <c r="B367" s="9"/>
    </row>
    <row r="368">
      <c r="B368" s="9"/>
    </row>
    <row r="369">
      <c r="B369" s="9"/>
    </row>
    <row r="370">
      <c r="B370" s="9"/>
    </row>
    <row r="371">
      <c r="B371" s="9"/>
    </row>
    <row r="372">
      <c r="B372" s="9"/>
    </row>
    <row r="373">
      <c r="B373" s="9"/>
    </row>
    <row r="374">
      <c r="B374" s="9"/>
    </row>
    <row r="375">
      <c r="B375" s="9"/>
    </row>
    <row r="376">
      <c r="B376" s="9"/>
    </row>
    <row r="377">
      <c r="B377" s="9"/>
    </row>
    <row r="378">
      <c r="B378" s="9"/>
    </row>
    <row r="379">
      <c r="B379" s="9"/>
    </row>
    <row r="380">
      <c r="B380" s="9"/>
    </row>
    <row r="381">
      <c r="B381" s="9"/>
    </row>
    <row r="382">
      <c r="B382" s="9"/>
    </row>
    <row r="383">
      <c r="B383" s="9"/>
    </row>
    <row r="384">
      <c r="B384" s="9"/>
    </row>
    <row r="385">
      <c r="B385" s="9"/>
    </row>
    <row r="386">
      <c r="B386" s="9"/>
    </row>
    <row r="387">
      <c r="B387" s="9"/>
    </row>
    <row r="388">
      <c r="B388" s="9"/>
    </row>
    <row r="389">
      <c r="B389" s="9"/>
    </row>
    <row r="390">
      <c r="B390" s="9"/>
    </row>
    <row r="391">
      <c r="B391" s="9"/>
    </row>
    <row r="392">
      <c r="B392" s="9"/>
    </row>
    <row r="393">
      <c r="B393" s="9"/>
    </row>
    <row r="394">
      <c r="B394" s="9"/>
    </row>
    <row r="395">
      <c r="B395" s="9"/>
    </row>
    <row r="396">
      <c r="B396" s="9"/>
    </row>
    <row r="397">
      <c r="B397" s="9"/>
    </row>
    <row r="398">
      <c r="B398" s="9"/>
    </row>
    <row r="399">
      <c r="B399" s="9"/>
    </row>
    <row r="400">
      <c r="B400" s="9"/>
    </row>
    <row r="401">
      <c r="B401" s="9"/>
    </row>
    <row r="402">
      <c r="B402" s="9"/>
    </row>
    <row r="403">
      <c r="B403" s="9"/>
    </row>
    <row r="404">
      <c r="B404" s="9"/>
    </row>
    <row r="405">
      <c r="B405" s="9"/>
    </row>
    <row r="406">
      <c r="B406" s="9"/>
    </row>
    <row r="407">
      <c r="B407" s="9"/>
    </row>
    <row r="408">
      <c r="B408" s="9"/>
    </row>
    <row r="409">
      <c r="B409" s="9"/>
    </row>
    <row r="410">
      <c r="B410" s="9"/>
    </row>
    <row r="411">
      <c r="B411" s="9"/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  <row r="896">
      <c r="B896" s="9"/>
    </row>
    <row r="897">
      <c r="B897" s="9"/>
    </row>
    <row r="898">
      <c r="B898" s="9"/>
    </row>
    <row r="899">
      <c r="B899" s="9"/>
    </row>
    <row r="900">
      <c r="B900" s="9"/>
    </row>
    <row r="901">
      <c r="B901" s="9"/>
    </row>
    <row r="902">
      <c r="B902" s="9"/>
    </row>
    <row r="903">
      <c r="B903" s="9"/>
    </row>
    <row r="904">
      <c r="B904" s="9"/>
    </row>
    <row r="905">
      <c r="B905" s="9"/>
    </row>
    <row r="906">
      <c r="B906" s="9"/>
    </row>
    <row r="907">
      <c r="B907" s="9"/>
    </row>
    <row r="908">
      <c r="B908" s="9"/>
    </row>
    <row r="909">
      <c r="B909" s="9"/>
    </row>
    <row r="910">
      <c r="B910" s="9"/>
    </row>
    <row r="911">
      <c r="B911" s="9"/>
    </row>
    <row r="912">
      <c r="B912" s="9"/>
    </row>
    <row r="913">
      <c r="B913" s="9"/>
    </row>
    <row r="914">
      <c r="B914" s="9"/>
    </row>
    <row r="915">
      <c r="B915" s="9"/>
    </row>
    <row r="916">
      <c r="B916" s="9"/>
    </row>
    <row r="917">
      <c r="B917" s="9"/>
    </row>
    <row r="918">
      <c r="B918" s="9"/>
    </row>
    <row r="919">
      <c r="B919" s="9"/>
    </row>
    <row r="920">
      <c r="B920" s="9"/>
    </row>
    <row r="921">
      <c r="B921" s="9"/>
    </row>
    <row r="922">
      <c r="B922" s="9"/>
    </row>
    <row r="923">
      <c r="B923" s="9"/>
    </row>
    <row r="924">
      <c r="B924" s="9"/>
    </row>
    <row r="925">
      <c r="B925" s="9"/>
    </row>
    <row r="926">
      <c r="B926" s="9"/>
    </row>
    <row r="927">
      <c r="B927" s="9"/>
    </row>
    <row r="928">
      <c r="B928" s="9"/>
    </row>
    <row r="929">
      <c r="B929" s="9"/>
    </row>
    <row r="930">
      <c r="B930" s="9"/>
    </row>
    <row r="931">
      <c r="B931" s="9"/>
    </row>
    <row r="932">
      <c r="B932" s="9"/>
    </row>
    <row r="933">
      <c r="B933" s="9"/>
    </row>
    <row r="934">
      <c r="B934" s="9"/>
    </row>
    <row r="935">
      <c r="B935" s="9"/>
    </row>
    <row r="936">
      <c r="B936" s="9"/>
    </row>
    <row r="937">
      <c r="B937" s="9"/>
    </row>
    <row r="938">
      <c r="B938" s="9"/>
    </row>
    <row r="939">
      <c r="B939" s="9"/>
    </row>
    <row r="940">
      <c r="B940" s="9"/>
    </row>
    <row r="941">
      <c r="B941" s="9"/>
    </row>
    <row r="942">
      <c r="B942" s="9"/>
    </row>
    <row r="943">
      <c r="B943" s="9"/>
    </row>
    <row r="944">
      <c r="B944" s="9"/>
    </row>
    <row r="945">
      <c r="B945" s="9"/>
    </row>
    <row r="946">
      <c r="B946" s="9"/>
    </row>
    <row r="947">
      <c r="B947" s="9"/>
    </row>
    <row r="948">
      <c r="B948" s="9"/>
    </row>
    <row r="949">
      <c r="B949" s="9"/>
    </row>
    <row r="950">
      <c r="B950" s="9"/>
    </row>
    <row r="951">
      <c r="B951" s="9"/>
    </row>
    <row r="952">
      <c r="B952" s="9"/>
    </row>
    <row r="953">
      <c r="B953" s="9"/>
    </row>
    <row r="954">
      <c r="B954" s="9"/>
    </row>
    <row r="955">
      <c r="B955" s="9"/>
    </row>
    <row r="956">
      <c r="B956" s="9"/>
    </row>
    <row r="957">
      <c r="B957" s="9"/>
    </row>
    <row r="958">
      <c r="B958" s="9"/>
    </row>
    <row r="959">
      <c r="B959" s="9"/>
    </row>
    <row r="960">
      <c r="B960" s="9"/>
    </row>
    <row r="961">
      <c r="B961" s="9"/>
    </row>
    <row r="962">
      <c r="B962" s="9"/>
    </row>
    <row r="963">
      <c r="B963" s="9"/>
    </row>
    <row r="964">
      <c r="B964" s="9"/>
    </row>
    <row r="965">
      <c r="B965" s="9"/>
    </row>
    <row r="966">
      <c r="B966" s="9"/>
    </row>
    <row r="967">
      <c r="B967" s="9"/>
    </row>
    <row r="968">
      <c r="B968" s="9"/>
    </row>
    <row r="969">
      <c r="B969" s="9"/>
    </row>
    <row r="970">
      <c r="B970" s="9"/>
    </row>
    <row r="971">
      <c r="B971" s="9"/>
    </row>
    <row r="972">
      <c r="B972" s="9"/>
    </row>
    <row r="973">
      <c r="B973" s="9"/>
    </row>
    <row r="974">
      <c r="B974" s="9"/>
    </row>
    <row r="975">
      <c r="B975" s="9"/>
    </row>
    <row r="976">
      <c r="B976" s="9"/>
    </row>
    <row r="977">
      <c r="B977" s="9"/>
    </row>
    <row r="978">
      <c r="B978" s="9"/>
    </row>
    <row r="979">
      <c r="B979" s="9"/>
    </row>
    <row r="980">
      <c r="B980" s="9"/>
    </row>
    <row r="981">
      <c r="B981" s="9"/>
    </row>
    <row r="982">
      <c r="B982" s="9"/>
    </row>
    <row r="983">
      <c r="B983" s="9"/>
    </row>
    <row r="984">
      <c r="B984" s="9"/>
    </row>
    <row r="985">
      <c r="B985" s="9"/>
    </row>
    <row r="986">
      <c r="B986" s="9"/>
    </row>
    <row r="987">
      <c r="B987" s="9"/>
    </row>
    <row r="988">
      <c r="B988" s="9"/>
    </row>
    <row r="989">
      <c r="B989" s="9"/>
    </row>
    <row r="990">
      <c r="B990" s="9"/>
    </row>
    <row r="991">
      <c r="B991" s="9"/>
    </row>
    <row r="992">
      <c r="B992" s="9"/>
    </row>
    <row r="993">
      <c r="B993" s="9"/>
    </row>
    <row r="994">
      <c r="B994" s="9"/>
    </row>
    <row r="995">
      <c r="B995" s="9"/>
    </row>
    <row r="996">
      <c r="B996" s="9"/>
    </row>
    <row r="997">
      <c r="B997" s="9"/>
    </row>
    <row r="998">
      <c r="B998" s="9"/>
    </row>
    <row r="999">
      <c r="B999" s="9"/>
    </row>
    <row r="1000">
      <c r="B1000" s="9"/>
    </row>
    <row r="1001">
      <c r="B1001" s="9"/>
    </row>
    <row r="1002">
      <c r="B1002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7.63"/>
    <col customWidth="1" min="3" max="3" width="5.13"/>
    <col customWidth="1" min="4" max="4" width="28.25"/>
    <col customWidth="1" min="5" max="5" width="5.13"/>
    <col customWidth="1" min="6" max="6" width="29.25"/>
    <col customWidth="1" min="7" max="7" width="5.13"/>
    <col customWidth="1" min="8" max="8" width="20.5"/>
    <col customWidth="1" min="9" max="9" width="5.13"/>
    <col customWidth="1" min="10" max="10" width="20.0"/>
    <col customWidth="1" min="11" max="26" width="5.13"/>
  </cols>
  <sheetData>
    <row r="1">
      <c r="A1" s="11"/>
      <c r="B1" s="12" t="s">
        <v>1114</v>
      </c>
      <c r="C1" s="11"/>
      <c r="D1" s="13"/>
      <c r="E1" s="11"/>
      <c r="F1" s="13"/>
      <c r="G1" s="11"/>
      <c r="H1" s="13"/>
      <c r="I1" s="11"/>
      <c r="J1" s="13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/>
      <c r="B2" s="14" t="s">
        <v>1115</v>
      </c>
      <c r="C2" s="11"/>
      <c r="D2" s="13"/>
      <c r="E2" s="11"/>
      <c r="F2" s="13"/>
      <c r="G2" s="11"/>
      <c r="H2" s="13"/>
      <c r="I2" s="11"/>
      <c r="J2" s="13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/>
      <c r="B3" s="13"/>
      <c r="C3" s="11"/>
      <c r="D3" s="13"/>
      <c r="E3" s="11"/>
      <c r="F3" s="13"/>
      <c r="G3" s="11"/>
      <c r="H3" s="13"/>
      <c r="I3" s="11"/>
      <c r="J3" s="13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5"/>
      <c r="B4" s="16">
        <f>KPI_summary!B2</f>
        <v>1089</v>
      </c>
      <c r="C4" s="17"/>
      <c r="D4" s="16">
        <f>KPI_summary!B3</f>
        <v>39971400</v>
      </c>
      <c r="E4" s="17"/>
      <c r="F4" s="16">
        <f>KPI_summary!B4</f>
        <v>22056260</v>
      </c>
      <c r="G4" s="17"/>
      <c r="H4" s="18">
        <f>KPI_summary!B5</f>
        <v>0.4481989623</v>
      </c>
      <c r="I4" s="17"/>
      <c r="J4" s="16">
        <f>KPI_summary!B6</f>
        <v>36738.41912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5"/>
      <c r="B5" s="19"/>
      <c r="C5" s="17"/>
      <c r="D5" s="19"/>
      <c r="E5" s="17"/>
      <c r="F5" s="19"/>
      <c r="G5" s="17"/>
      <c r="H5" s="19"/>
      <c r="I5" s="17"/>
      <c r="J5" s="19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5"/>
      <c r="B6" s="19"/>
      <c r="C6" s="17"/>
      <c r="D6" s="19"/>
      <c r="E6" s="17"/>
      <c r="F6" s="19"/>
      <c r="G6" s="17"/>
      <c r="H6" s="19"/>
      <c r="I6" s="17"/>
      <c r="J6" s="19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20"/>
      <c r="B7" s="21" t="s">
        <v>1116</v>
      </c>
      <c r="C7" s="22"/>
      <c r="D7" s="21" t="s">
        <v>1117</v>
      </c>
      <c r="E7" s="22"/>
      <c r="F7" s="21" t="s">
        <v>1118</v>
      </c>
      <c r="G7" s="22"/>
      <c r="H7" s="21" t="s">
        <v>1119</v>
      </c>
      <c r="I7" s="22"/>
      <c r="J7" s="21" t="s">
        <v>1120</v>
      </c>
      <c r="K7" s="20"/>
      <c r="L7" s="20"/>
      <c r="M7" s="20"/>
      <c r="N7" s="20"/>
      <c r="O7" s="20"/>
      <c r="P7" s="20"/>
      <c r="Q7" s="23"/>
      <c r="R7" s="20"/>
      <c r="S7" s="20"/>
      <c r="T7" s="20"/>
      <c r="U7" s="20"/>
      <c r="V7" s="20"/>
      <c r="W7" s="20"/>
      <c r="X7" s="20"/>
      <c r="Y7" s="20"/>
      <c r="Z7" s="20"/>
    </row>
    <row r="8">
      <c r="A8" s="24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r="100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</row>
    <row r="1002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</row>
    <row r="1003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</row>
  </sheetData>
  <mergeCells count="5">
    <mergeCell ref="B4:B6"/>
    <mergeCell ref="D4:D6"/>
    <mergeCell ref="F4:F6"/>
    <mergeCell ref="H4:H6"/>
    <mergeCell ref="J4:J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77.38"/>
  </cols>
  <sheetData>
    <row r="1" ht="22.5" customHeight="1">
      <c r="A1" s="26" t="s">
        <v>1121</v>
      </c>
      <c r="B1" s="26" t="s">
        <v>1122</v>
      </c>
    </row>
    <row r="2" ht="22.5" customHeight="1">
      <c r="A2" s="27" t="s">
        <v>1123</v>
      </c>
      <c r="B2" s="28" t="s">
        <v>1124</v>
      </c>
    </row>
    <row r="3" ht="22.5" customHeight="1">
      <c r="A3" s="27" t="s">
        <v>1125</v>
      </c>
      <c r="B3" s="28" t="s">
        <v>1126</v>
      </c>
    </row>
    <row r="4" ht="22.5" customHeight="1">
      <c r="A4" s="27" t="s">
        <v>1127</v>
      </c>
      <c r="B4" s="28" t="s">
        <v>1128</v>
      </c>
    </row>
    <row r="5" ht="22.5" customHeight="1">
      <c r="A5" s="27" t="s">
        <v>1129</v>
      </c>
      <c r="B5" s="28" t="s">
        <v>1130</v>
      </c>
    </row>
    <row r="6" ht="22.5" customHeight="1">
      <c r="A6" s="27" t="s">
        <v>1131</v>
      </c>
      <c r="B6" s="28" t="s">
        <v>1132</v>
      </c>
    </row>
    <row r="7" ht="22.5" customHeight="1">
      <c r="A7" s="27" t="s">
        <v>1133</v>
      </c>
      <c r="B7" s="29" t="s">
        <v>1134</v>
      </c>
    </row>
    <row r="8" ht="22.5" customHeight="1">
      <c r="A8" s="28" t="s">
        <v>1135</v>
      </c>
      <c r="B8" s="28" t="s">
        <v>1136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1137</v>
      </c>
    </row>
    <row r="2">
      <c r="A2" s="1" t="s">
        <v>13</v>
      </c>
      <c r="B2" s="1" t="s">
        <v>1138</v>
      </c>
    </row>
  </sheetData>
  <drawing r:id="rId1"/>
</worksheet>
</file>